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olanco\Documents\"/>
    </mc:Choice>
  </mc:AlternateContent>
  <xr:revisionPtr revIDLastSave="0" documentId="13_ncr:1_{C3E62BCB-24B8-4768-AEEE-E85A6120D4C9}" xr6:coauthVersionLast="47" xr6:coauthVersionMax="47" xr10:uidLastSave="{00000000-0000-0000-0000-000000000000}"/>
  <bookViews>
    <workbookView xWindow="-120" yWindow="-120" windowWidth="29040" windowHeight="15720" activeTab="1" xr2:uid="{AE56E16F-63E4-4445-8E87-2458C9EB864F}"/>
  </bookViews>
  <sheets>
    <sheet name="Accounts" sheetId="1" r:id="rId1"/>
    <sheet name="GST" sheetId="3" r:id="rId2"/>
  </sheets>
  <definedNames>
    <definedName name="_xlnm.Print_Titles" localSheetId="0">Accounts!$A:$H,Accounts!$1:$1</definedName>
    <definedName name="_xlnm.Print_Titles" localSheetId="1">GST!$A:$D,GST!$1:$1</definedName>
    <definedName name="QB_COLUMN_1" localSheetId="1" hidden="1">GST!$E$1</definedName>
    <definedName name="QB_COLUMN_28" localSheetId="1" hidden="1">GST!$Q$1</definedName>
    <definedName name="QB_COLUMN_29" localSheetId="0" hidden="1">Accounts!$I$1</definedName>
    <definedName name="QB_COLUMN_29" localSheetId="1" hidden="1">GST!$S$1</definedName>
    <definedName name="QB_COLUMN_3" localSheetId="1" hidden="1">GST!$G$1</definedName>
    <definedName name="QB_COLUMN_31" localSheetId="1" hidden="1">GST!$U$1</definedName>
    <definedName name="QB_COLUMN_4" localSheetId="1" hidden="1">GST!$I$1</definedName>
    <definedName name="QB_COLUMN_5" localSheetId="1" hidden="1">GST!$K$1</definedName>
    <definedName name="QB_COLUMN_7" localSheetId="1" hidden="1">GST!$M$1</definedName>
    <definedName name="QB_COLUMN_8" localSheetId="1" hidden="1">GST!$O$1</definedName>
    <definedName name="QB_DATA_0" localSheetId="0" hidden="1">Accounts!$5:$5,Accounts!$6:$6,Accounts!$7:$7,Accounts!$8:$8,Accounts!$9:$9,Accounts!$12:$12,Accounts!$13:$13,Accounts!$16:$16,Accounts!$17:$17,Accounts!$18:$18,Accounts!$22:$22,Accounts!$23:$23,Accounts!$24:$24,Accounts!$27:$27,Accounts!$28:$28,Accounts!$29:$29</definedName>
    <definedName name="QB_DATA_0" localSheetId="1" hidden="1">GST!$2:$2,GST!$3:$3,GST!$4:$4,GST!$5:$5,GST!$6:$6,GST!$7:$7,GST!$8:$8,GST!$9:$9,GST!$10:$10,GST!$12:$12,GST!$13:$13,GST!$14:$14,GST!$15:$15,GST!$16:$16,GST!$17:$17,GST!$18:$18</definedName>
    <definedName name="QB_DATA_1" localSheetId="0" hidden="1">Accounts!$30:$30,Accounts!$31:$31,Accounts!$32:$32,Accounts!$33:$33,Accounts!$36:$36,Accounts!$37:$37,Accounts!$38:$38,Accounts!$39:$39,Accounts!$43:$43,Accounts!$44:$44</definedName>
    <definedName name="QB_DATA_1" localSheetId="1" hidden="1">GST!$19:$19,GST!$20:$20,GST!$21:$21,GST!$22:$22,GST!$23:$23,GST!$24:$24,GST!$25:$25,GST!$26:$26,GST!$27:$27,GST!$28:$28,GST!$29:$29,GST!$30:$30,GST!$31:$31,GST!$32:$32,GST!$33:$33,GST!$34:$34</definedName>
    <definedName name="QB_DATA_2" localSheetId="1" hidden="1">GST!$35:$35,GST!$36:$36,GST!$37:$37,GST!$38:$38,GST!$39:$39,GST!$40:$40,GST!$41:$41,GST!$42:$42,GST!$43:$43,GST!$44:$44,GST!$45:$45,GST!$46:$46,GST!$47:$47,GST!$48:$48,GST!$49:$49,GST!$50:$50</definedName>
    <definedName name="QB_DATA_3" localSheetId="1" hidden="1">GST!$51:$51,GST!$52:$52,GST!$53:$53,GST!$54:$54,GST!$55:$55,GST!$56:$56,GST!$57:$57,GST!$58:$58,GST!$59:$59,GST!$60:$60,GST!$61:$61,GST!$62:$62,GST!$63:$63,GST!$64:$64,GST!$65:$65,GST!$66:$66</definedName>
    <definedName name="QB_DATA_4" localSheetId="1" hidden="1">GST!$67:$67,GST!$68:$68,GST!$69:$69,GST!$70:$70,GST!$71:$71,GST!$72:$72,GST!$73:$73,GST!$74:$74,GST!$75:$75,GST!$76:$76,GST!$77:$77,GST!$78:$78,GST!$79:$79,GST!$80:$80,GST!$81:$81,GST!$82:$82</definedName>
    <definedName name="QB_DATA_5" localSheetId="1" hidden="1">GST!$83:$83,GST!$84:$84,GST!$85:$85,GST!$86:$86,GST!$87:$87,GST!$88:$88,GST!$89:$89,GST!$90:$90,GST!$91:$91,GST!$92:$92,GST!$93:$93,GST!$94:$94,GST!$95:$95,GST!$96:$96,GST!$97:$97,GST!$98:$98</definedName>
    <definedName name="QB_FORMULA_0" localSheetId="0" hidden="1">Accounts!$I$14,Accounts!$I$19,Accounts!$I$20,Accounts!$I$25,Accounts!$I$34,Accounts!$I$40,Accounts!$I$41,Accounts!$I$45,Accounts!$I$46,Accounts!$I$47,Accounts!$I$48,Accounts!$I$49</definedName>
    <definedName name="QB_FORMULA_0" localSheetId="1" hidden="1">GST!$Q$11,GST!$S$11,GST!$U$11,GST!$Q$99,GST!$S$99,GST!$U$99,GST!$Q$100,GST!$S$100,GST!$U$100,GST!$Q$101,GST!$S$101,GST!$U$101,GST!$Q$102,GST!$S$102,GST!$U$102</definedName>
    <definedName name="QB_ROW_11655250" localSheetId="0" hidden="1">Accounts!$F$43</definedName>
    <definedName name="QB_ROW_11926250" localSheetId="0" hidden="1">Accounts!$F$44</definedName>
    <definedName name="QB_ROW_11933260" localSheetId="0" hidden="1">Accounts!$G$38</definedName>
    <definedName name="QB_ROW_12100060" localSheetId="0" hidden="1">Accounts!$G$15</definedName>
    <definedName name="QB_ROW_12100270" localSheetId="0" hidden="1">Accounts!$H$18</definedName>
    <definedName name="QB_ROW_12100360" localSheetId="0" hidden="1">Accounts!$G$19</definedName>
    <definedName name="QB_ROW_12608040" localSheetId="0" hidden="1">Accounts!$E$4</definedName>
    <definedName name="QB_ROW_12608340" localSheetId="0" hidden="1">Accounts!$E$41</definedName>
    <definedName name="QB_ROW_12610010" localSheetId="1" hidden="1">GST!$B$2</definedName>
    <definedName name="QB_ROW_12610310" localSheetId="1" hidden="1">GST!$B$101</definedName>
    <definedName name="QB_ROW_12611040" localSheetId="0" hidden="1">Accounts!$E$42</definedName>
    <definedName name="QB_ROW_12611340" localSheetId="0" hidden="1">Accounts!$E$45</definedName>
    <definedName name="QB_ROW_12849260" localSheetId="0" hidden="1">Accounts!$G$31</definedName>
    <definedName name="QB_ROW_12900260" localSheetId="0" hidden="1">Accounts!$G$32</definedName>
    <definedName name="QB_ROW_13311270" localSheetId="0" hidden="1">Accounts!$H$12</definedName>
    <definedName name="QB_ROW_13313270" localSheetId="0" hidden="1">Accounts!$H$17</definedName>
    <definedName name="QB_ROW_13503260" localSheetId="0" hidden="1">Accounts!$G$33</definedName>
    <definedName name="QB_ROW_13519260" localSheetId="0" hidden="1">Accounts!$G$37</definedName>
    <definedName name="QB_ROW_13521260" localSheetId="0" hidden="1">Accounts!$G$39</definedName>
    <definedName name="QB_ROW_13522030" localSheetId="1" hidden="1">GST!$D$4</definedName>
    <definedName name="QB_ROW_13522330" localSheetId="1" hidden="1">GST!$D$11</definedName>
    <definedName name="QB_ROW_13608260" localSheetId="0" hidden="1">Accounts!$G$36</definedName>
    <definedName name="QB_ROW_13779270" localSheetId="0" hidden="1">Accounts!$H$16</definedName>
    <definedName name="QB_ROW_145060" localSheetId="0" hidden="1">Accounts!$G$11</definedName>
    <definedName name="QB_ROW_145270" localSheetId="0" hidden="1">Accounts!$H$13</definedName>
    <definedName name="QB_ROW_145360" localSheetId="0" hidden="1">Accounts!$G$14</definedName>
    <definedName name="QB_ROW_18301" localSheetId="0" hidden="1">Accounts!$A$49</definedName>
    <definedName name="QB_ROW_185050" localSheetId="0" hidden="1">Accounts!$F$26</definedName>
    <definedName name="QB_ROW_185350" localSheetId="0" hidden="1">Accounts!$F$34</definedName>
    <definedName name="QB_ROW_186260" localSheetId="0" hidden="1">Accounts!$G$27</definedName>
    <definedName name="QB_ROW_187260" localSheetId="0" hidden="1">Accounts!$G$28</definedName>
    <definedName name="QB_ROW_19011" localSheetId="0" hidden="1">Accounts!$B$2</definedName>
    <definedName name="QB_ROW_190260" localSheetId="0" hidden="1">Accounts!$G$29</definedName>
    <definedName name="QB_ROW_19311" localSheetId="0" hidden="1">Accounts!$B$48</definedName>
    <definedName name="QB_ROW_193260" localSheetId="0" hidden="1">Accounts!$G$30</definedName>
    <definedName name="QB_ROW_20031" localSheetId="0" hidden="1">Accounts!$D$3</definedName>
    <definedName name="QB_ROW_20331" localSheetId="0" hidden="1">Accounts!$D$46</definedName>
    <definedName name="QB_ROW_251020" localSheetId="1" hidden="1">GST!$C$3</definedName>
    <definedName name="QB_ROW_251030" localSheetId="1" hidden="1">GST!$D$12</definedName>
    <definedName name="QB_ROW_251320" localSheetId="1" hidden="1">GST!$C$100</definedName>
    <definedName name="QB_ROW_251330" localSheetId="1" hidden="1">GST!$D$99</definedName>
    <definedName name="QB_ROW_25301" localSheetId="1" hidden="1">GST!$A$102</definedName>
    <definedName name="QB_ROW_55250" localSheetId="0" hidden="1">Accounts!$F$5</definedName>
    <definedName name="QB_ROW_56250" localSheetId="0" hidden="1">Accounts!$F$7</definedName>
    <definedName name="QB_ROW_57250" localSheetId="0" hidden="1">Accounts!$F$8</definedName>
    <definedName name="QB_ROW_58050" localSheetId="0" hidden="1">Accounts!$F$10</definedName>
    <definedName name="QB_ROW_58350" localSheetId="0" hidden="1">Accounts!$F$20</definedName>
    <definedName name="QB_ROW_60250" localSheetId="0" hidden="1">Accounts!$F$9</definedName>
    <definedName name="QB_ROW_61250" localSheetId="0" hidden="1">Accounts!$F$6</definedName>
    <definedName name="QB_ROW_62050" localSheetId="0" hidden="1">Accounts!$F$21</definedName>
    <definedName name="QB_ROW_62350" localSheetId="0" hidden="1">Accounts!$F$25</definedName>
    <definedName name="QB_ROW_63260" localSheetId="0" hidden="1">Accounts!$G$22</definedName>
    <definedName name="QB_ROW_64260" localSheetId="0" hidden="1">Accounts!$G$23</definedName>
    <definedName name="QB_ROW_65260" localSheetId="0" hidden="1">Accounts!$G$24</definedName>
    <definedName name="QB_ROW_66050" localSheetId="0" hidden="1">Accounts!$F$35</definedName>
    <definedName name="QB_ROW_66350" localSheetId="0" hidden="1">Accounts!$F$40</definedName>
    <definedName name="QB_ROW_86321" localSheetId="0" hidden="1">Accounts!$C$47</definedName>
    <definedName name="QBCANSUPPORTUPDATE" localSheetId="0">TRUE</definedName>
    <definedName name="QBCANSUPPORTUPDATE" localSheetId="1">TRUE</definedName>
    <definedName name="QBCOMPANYFILENAME" localSheetId="0">"\\qb-server\Quickbooks Data\2024 Data Base\chaa creek 97_2013.qbw"</definedName>
    <definedName name="QBCOMPANYFILENAME" localSheetId="1">"\\qb-server\Quickbooks Data\2024 Data Base\chaa creek 97_2013.qbw"</definedName>
    <definedName name="QBENDDATE" localSheetId="0">20260808</definedName>
    <definedName name="QBENDDATE" localSheetId="1">20260808</definedName>
    <definedName name="QBHEADERSONSCREEN" localSheetId="0">FALSE</definedName>
    <definedName name="QBHEADERSONSCREEN" localSheetId="1">FALSE</definedName>
    <definedName name="QBMETADATASIZE" localSheetId="0">6146</definedName>
    <definedName name="QBMETADATASIZE" localSheetId="1">8304</definedName>
    <definedName name="QBPRESERVECOLOR" localSheetId="0">TRUE</definedName>
    <definedName name="QBPRESERVECOLOR" localSheetId="1">TRUE</definedName>
    <definedName name="QBPRESERVEFONT" localSheetId="0">TRUE</definedName>
    <definedName name="QBPRESERVEFONT" localSheetId="1">TRUE</definedName>
    <definedName name="QBPRESERVEROWHEIGHT" localSheetId="0">TRUE</definedName>
    <definedName name="QBPRESERVEROWHEIGHT" localSheetId="1">TRUE</definedName>
    <definedName name="QBPRESERVESPACE" localSheetId="0">TRUE</definedName>
    <definedName name="QBPRESERVESPACE" localSheetId="1">TRUE</definedName>
    <definedName name="QBREPORTCOLAXIS" localSheetId="0">0</definedName>
    <definedName name="QBREPORTCOLAXIS" localSheetId="1">0</definedName>
    <definedName name="QBREPORTCOMPANYID" localSheetId="0">"27ca226bef6c4e219b5d2264f3ac1691"</definedName>
    <definedName name="QBREPORTCOMPANYID" localSheetId="1">"27ca226bef6c4e219b5d2264f3ac1691"</definedName>
    <definedName name="QBREPORTCOMPARECOL_ANNUALBUDGET" localSheetId="0">FALSE</definedName>
    <definedName name="QBREPORTCOMPARECOL_ANNUALBUDGET" localSheetId="1">FALSE</definedName>
    <definedName name="QBREPORTCOMPARECOL_AVGCOGS" localSheetId="0">FALSE</definedName>
    <definedName name="QBREPORTCOMPARECOL_AVGCOGS" localSheetId="1">FALSE</definedName>
    <definedName name="QBREPORTCOMPARECOL_AVGPRICE" localSheetId="0">FALSE</definedName>
    <definedName name="QBREPORTCOMPARECOL_AVGPRICE" localSheetId="1">FALSE</definedName>
    <definedName name="QBREPORTCOMPARECOL_BUDDIFF" localSheetId="0">FALSE</definedName>
    <definedName name="QBREPORTCOMPARECOL_BUDDIFF" localSheetId="1">FALSE</definedName>
    <definedName name="QBREPORTCOMPARECOL_BUDGET" localSheetId="0">FALSE</definedName>
    <definedName name="QBREPORTCOMPARECOL_BUDGET" localSheetId="1">FALSE</definedName>
    <definedName name="QBREPORTCOMPARECOL_BUDPCT" localSheetId="0">FALSE</definedName>
    <definedName name="QBREPORTCOMPARECOL_BUDPCT" localSheetId="1">FALSE</definedName>
    <definedName name="QBREPORTCOMPARECOL_COGS" localSheetId="0">FALSE</definedName>
    <definedName name="QBREPORTCOMPARECOL_COGS" localSheetId="1">FALSE</definedName>
    <definedName name="QBREPORTCOMPARECOL_EXCLUDEAMOUNT" localSheetId="0">FALSE</definedName>
    <definedName name="QBREPORTCOMPARECOL_EXCLUDEAMOUNT" localSheetId="1">FALSE</definedName>
    <definedName name="QBREPORTCOMPARECOL_EXCLUDECURPERIOD" localSheetId="0">FALSE</definedName>
    <definedName name="QBREPORTCOMPARECOL_EXCLUDECURPERIOD" localSheetId="1">FALSE</definedName>
    <definedName name="QBREPORTCOMPARECOL_FORECAST" localSheetId="0">FALSE</definedName>
    <definedName name="QBREPORTCOMPARECOL_FORECAST" localSheetId="1">FALSE</definedName>
    <definedName name="QBREPORTCOMPARECOL_GROSSMARGIN" localSheetId="0">FALSE</definedName>
    <definedName name="QBREPORTCOMPARECOL_GROSSMARGIN" localSheetId="1">FALSE</definedName>
    <definedName name="QBREPORTCOMPARECOL_GROSSMARGINPCT" localSheetId="0">FALSE</definedName>
    <definedName name="QBREPORTCOMPARECOL_GROSSMARGINPCT" localSheetId="1">FALSE</definedName>
    <definedName name="QBREPORTCOMPARECOL_HOURS" localSheetId="0">FALSE</definedName>
    <definedName name="QBREPORTCOMPARECOL_HOURS" localSheetId="1">FALSE</definedName>
    <definedName name="QBREPORTCOMPARECOL_PCTCOL" localSheetId="0">FALSE</definedName>
    <definedName name="QBREPORTCOMPARECOL_PCTCOL" localSheetId="1">FALSE</definedName>
    <definedName name="QBREPORTCOMPARECOL_PCTEXPENSE" localSheetId="0">FALSE</definedName>
    <definedName name="QBREPORTCOMPARECOL_PCTEXPENSE" localSheetId="1">FALSE</definedName>
    <definedName name="QBREPORTCOMPARECOL_PCTINCOME" localSheetId="0">FALSE</definedName>
    <definedName name="QBREPORTCOMPARECOL_PCTINCOME" localSheetId="1">FALSE</definedName>
    <definedName name="QBREPORTCOMPARECOL_PCTOFSALES" localSheetId="0">FALSE</definedName>
    <definedName name="QBREPORTCOMPARECOL_PCTOFSALES" localSheetId="1">FALSE</definedName>
    <definedName name="QBREPORTCOMPARECOL_PCTROW" localSheetId="0">FALSE</definedName>
    <definedName name="QBREPORTCOMPARECOL_PCTROW" localSheetId="1">FALSE</definedName>
    <definedName name="QBREPORTCOMPARECOL_PPDIFF" localSheetId="0">FALSE</definedName>
    <definedName name="QBREPORTCOMPARECOL_PPDIFF" localSheetId="1">FALSE</definedName>
    <definedName name="QBREPORTCOMPARECOL_PPPCT" localSheetId="0">FALSE</definedName>
    <definedName name="QBREPORTCOMPARECOL_PPPCT" localSheetId="1">FALSE</definedName>
    <definedName name="QBREPORTCOMPARECOL_PREVPERIOD" localSheetId="0">FALSE</definedName>
    <definedName name="QBREPORTCOMPARECOL_PREVPERIOD" localSheetId="1">FALSE</definedName>
    <definedName name="QBREPORTCOMPARECOL_PREVYEAR" localSheetId="0">FALSE</definedName>
    <definedName name="QBREPORTCOMPARECOL_PREVYEAR" localSheetId="1">FALSE</definedName>
    <definedName name="QBREPORTCOMPARECOL_PYDIFF" localSheetId="0">FALSE</definedName>
    <definedName name="QBREPORTCOMPARECOL_PYDIFF" localSheetId="1">FALSE</definedName>
    <definedName name="QBREPORTCOMPARECOL_PYPCT" localSheetId="0">FALSE</definedName>
    <definedName name="QBREPORTCOMPARECOL_PYPCT" localSheetId="1">FALSE</definedName>
    <definedName name="QBREPORTCOMPARECOL_QTY" localSheetId="0">FALSE</definedName>
    <definedName name="QBREPORTCOMPARECOL_QTY" localSheetId="1">FALSE</definedName>
    <definedName name="QBREPORTCOMPARECOL_RATE" localSheetId="0">FALSE</definedName>
    <definedName name="QBREPORTCOMPARECOL_RATE" localSheetId="1">FALSE</definedName>
    <definedName name="QBREPORTCOMPARECOL_TRIPBILLEDMILES" localSheetId="0">FALSE</definedName>
    <definedName name="QBREPORTCOMPARECOL_TRIPBILLEDMILES" localSheetId="1">FALSE</definedName>
    <definedName name="QBREPORTCOMPARECOL_TRIPBILLINGAMOUNT" localSheetId="0">FALSE</definedName>
    <definedName name="QBREPORTCOMPARECOL_TRIPBILLINGAMOUNT" localSheetId="1">FALSE</definedName>
    <definedName name="QBREPORTCOMPARECOL_TRIPMILES" localSheetId="0">FALSE</definedName>
    <definedName name="QBREPORTCOMPARECOL_TRIPMILES" localSheetId="1">FALSE</definedName>
    <definedName name="QBREPORTCOMPARECOL_TRIPNOTBILLABLEMILES" localSheetId="0">FALSE</definedName>
    <definedName name="QBREPORTCOMPARECOL_TRIPNOTBILLABLEMILES" localSheetId="1">FALSE</definedName>
    <definedName name="QBREPORTCOMPARECOL_TRIPTAXDEDUCTIBLEAMOUNT" localSheetId="0">FALSE</definedName>
    <definedName name="QBREPORTCOMPARECOL_TRIPTAXDEDUCTIBLEAMOUNT" localSheetId="1">FALSE</definedName>
    <definedName name="QBREPORTCOMPARECOL_TRIPUNBILLEDMILES" localSheetId="0">FALSE</definedName>
    <definedName name="QBREPORTCOMPARECOL_TRIPUNBILLEDMILES" localSheetId="1">FALSE</definedName>
    <definedName name="QBREPORTCOMPARECOL_YTD" localSheetId="0">FALSE</definedName>
    <definedName name="QBREPORTCOMPARECOL_YTD" localSheetId="1">FALSE</definedName>
    <definedName name="QBREPORTCOMPARECOL_YTDBUDGET" localSheetId="0">FALSE</definedName>
    <definedName name="QBREPORTCOMPARECOL_YTDBUDGET" localSheetId="1">FALSE</definedName>
    <definedName name="QBREPORTCOMPARECOL_YTDPCT" localSheetId="0">FALSE</definedName>
    <definedName name="QBREPORTCOMPARECOL_YTDPCT" localSheetId="1">FALSE</definedName>
    <definedName name="QBREPORTROWAXIS" localSheetId="0">11</definedName>
    <definedName name="QBREPORTROWAXIS" localSheetId="1">12</definedName>
    <definedName name="QBREPORTSUBCOLAXIS" localSheetId="0">0</definedName>
    <definedName name="QBREPORTSUBCOLAXIS" localSheetId="1">0</definedName>
    <definedName name="QBREPORTTYPE" localSheetId="0">0</definedName>
    <definedName name="QBREPORTTYPE" localSheetId="1">83</definedName>
    <definedName name="QBROWHEADERS" localSheetId="0">8</definedName>
    <definedName name="QBROWHEADERS" localSheetId="1">4</definedName>
    <definedName name="QBSTARTDATE" localSheetId="0">20260801</definedName>
    <definedName name="QBSTARTDATE" localSheetId="1">20260801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1" i="3" l="1"/>
  <c r="S11" i="3"/>
  <c r="U11" i="3"/>
  <c r="Q99" i="3"/>
  <c r="S99" i="3"/>
  <c r="U99" i="3"/>
  <c r="Q100" i="3"/>
  <c r="Q101" i="3" s="1"/>
  <c r="Q102" i="3" s="1"/>
  <c r="S100" i="3"/>
  <c r="U100" i="3"/>
  <c r="U101" i="3" s="1"/>
  <c r="U102" i="3" s="1"/>
  <c r="S101" i="3"/>
  <c r="S102" i="3" s="1"/>
  <c r="I49" i="1" l="1"/>
  <c r="I48" i="1"/>
  <c r="I47" i="1"/>
  <c r="I46" i="1"/>
  <c r="I45" i="1"/>
  <c r="I41" i="1"/>
  <c r="I40" i="1"/>
  <c r="I34" i="1"/>
  <c r="I25" i="1"/>
  <c r="I20" i="1"/>
  <c r="I19" i="1"/>
  <c r="I14" i="1"/>
</calcChain>
</file>

<file path=xl/sharedStrings.xml><?xml version="1.0" encoding="utf-8"?>
<sst xmlns="http://schemas.openxmlformats.org/spreadsheetml/2006/main" count="434" uniqueCount="241">
  <si>
    <t>Aug 1 - 8, 26</t>
  </si>
  <si>
    <t>Ordinary Income/Expense</t>
  </si>
  <si>
    <t>Income</t>
  </si>
  <si>
    <t>Resort Income</t>
  </si>
  <si>
    <t>4000 · Cottage Collection Room Income</t>
  </si>
  <si>
    <t>4400 · Laundry Income</t>
  </si>
  <si>
    <t>4100 · Restaurant Income</t>
  </si>
  <si>
    <t>4200 · Bar Income</t>
  </si>
  <si>
    <t>4300 · Boutique/Gift Shop</t>
  </si>
  <si>
    <t>4500 · Tour Income</t>
  </si>
  <si>
    <t>4501 · Tikal Tours Income</t>
  </si>
  <si>
    <t>4501a · Tikal Tour Guide Prof Services</t>
  </si>
  <si>
    <t>4501 · Tikal Tours Income - Other</t>
  </si>
  <si>
    <t>Total 4501 · Tikal Tours Income</t>
  </si>
  <si>
    <t>4511 · All Other Tour Income</t>
  </si>
  <si>
    <t>4511b · Tours - NICH Conduit Fees</t>
  </si>
  <si>
    <t>4511a · All Other Tour Guide Prof Svcs</t>
  </si>
  <si>
    <t>4511 · All Other Tour Income - Other</t>
  </si>
  <si>
    <t>Total 4511 · All Other Tour Income</t>
  </si>
  <si>
    <t>Total 4500 · Tour Income</t>
  </si>
  <si>
    <t>4600 · Camp Site Income</t>
  </si>
  <si>
    <t>4601 · Campsite Room Income</t>
  </si>
  <si>
    <t>4602 · Campsite Food Income</t>
  </si>
  <si>
    <t>4603 · Campsite Bar Income</t>
  </si>
  <si>
    <t>Total 4600 · Camp Site Income</t>
  </si>
  <si>
    <t>4700 · NHC On-Site Activities Income</t>
  </si>
  <si>
    <t>4701 · Canoeing</t>
  </si>
  <si>
    <t>4702 · Horseback Riding</t>
  </si>
  <si>
    <t>4705 · Night Walk / Birding Activities</t>
  </si>
  <si>
    <t>4708 · Butterfly Farm / NHC Activities</t>
  </si>
  <si>
    <t>4712 · On-Site Activities-Combo Pkgs</t>
  </si>
  <si>
    <t>4713 · Rainforest Safari</t>
  </si>
  <si>
    <t>4715 · Tubing</t>
  </si>
  <si>
    <t>Total 4700 · NHC On-Site Activities Income</t>
  </si>
  <si>
    <t>4800 · Other Income</t>
  </si>
  <si>
    <t>4818 · Trade Services - Babysitting</t>
  </si>
  <si>
    <t>4815 · Maya Farm Produce</t>
  </si>
  <si>
    <t>4809 · Pool Visitors Income</t>
  </si>
  <si>
    <t>4816 · Other Income - Tenants</t>
  </si>
  <si>
    <t>Total 4800 · Other Income</t>
  </si>
  <si>
    <t>Total Resort Income</t>
  </si>
  <si>
    <t>Guava Limb Cafe Income</t>
  </si>
  <si>
    <t>4860 · Guava Limb Food Income</t>
  </si>
  <si>
    <t>4861 · Guava Limb Beer &amp; Wine Income</t>
  </si>
  <si>
    <t>Total Guava Limb Cafe Income</t>
  </si>
  <si>
    <t>Total Income</t>
  </si>
  <si>
    <t>Gross Profit</t>
  </si>
  <si>
    <t>Net Ordinary Income</t>
  </si>
  <si>
    <t>Net Income</t>
  </si>
  <si>
    <t>TOTAL</t>
  </si>
  <si>
    <t>Total Taxes</t>
  </si>
  <si>
    <t>Total 2251 · GST Payable</t>
  </si>
  <si>
    <t>Total 2251 · GST Payable - Other</t>
  </si>
  <si>
    <t>TIN#220639</t>
  </si>
  <si>
    <t>New Flags.</t>
  </si>
  <si>
    <t>518075</t>
  </si>
  <si>
    <t>Bill</t>
  </si>
  <si>
    <t>518109</t>
  </si>
  <si>
    <t>TIN#230389</t>
  </si>
  <si>
    <t>Belize Imports &amp; Goods Ltd</t>
  </si>
  <si>
    <t>28594</t>
  </si>
  <si>
    <t>Check</t>
  </si>
  <si>
    <t>TIN#125122</t>
  </si>
  <si>
    <t>EcoFriendly Solutions Limited</t>
  </si>
  <si>
    <t>22035</t>
  </si>
  <si>
    <t>TIN#179366</t>
  </si>
  <si>
    <t>Benque Hardware Store</t>
  </si>
  <si>
    <t>02-2608000457</t>
  </si>
  <si>
    <t>TIN#119</t>
  </si>
  <si>
    <t>Reimers Feed Mill</t>
  </si>
  <si>
    <t>662364</t>
  </si>
  <si>
    <t>TIN#015357</t>
  </si>
  <si>
    <t>Western Dairies</t>
  </si>
  <si>
    <t>3329986</t>
  </si>
  <si>
    <t>TIN#5153</t>
  </si>
  <si>
    <t>Tiger Run Farm-GLC</t>
  </si>
  <si>
    <t>243/10236</t>
  </si>
  <si>
    <t>516824</t>
  </si>
  <si>
    <t>TIN#67980</t>
  </si>
  <si>
    <t>Ko-Ox Han-Nah</t>
  </si>
  <si>
    <t>1872</t>
  </si>
  <si>
    <t>3329987</t>
  </si>
  <si>
    <t>TIN#239085</t>
  </si>
  <si>
    <t>Alvaro Habet (Shell Gas Station)</t>
  </si>
  <si>
    <t>346798</t>
  </si>
  <si>
    <t>Tiger Run Farm Ltd</t>
  </si>
  <si>
    <t>243/10237</t>
  </si>
  <si>
    <t>TIN#104499</t>
  </si>
  <si>
    <t>Recinos Imports Ltd.</t>
  </si>
  <si>
    <t>DA172769</t>
  </si>
  <si>
    <t>516812</t>
  </si>
  <si>
    <t>TIN#015080</t>
  </si>
  <si>
    <t>San Miguel Co. Ltd.</t>
  </si>
  <si>
    <t>12773</t>
  </si>
  <si>
    <t>TIN#183704</t>
  </si>
  <si>
    <t>Super Mart.</t>
  </si>
  <si>
    <t>588969</t>
  </si>
  <si>
    <t>TIN#20</t>
  </si>
  <si>
    <t>Bowen &amp; Bowen- Guava Limb</t>
  </si>
  <si>
    <t>d200580160</t>
  </si>
  <si>
    <t>TIN 141288</t>
  </si>
  <si>
    <t>Belize Auto Parts &amp; Accessories</t>
  </si>
  <si>
    <t>9262</t>
  </si>
  <si>
    <t>588864</t>
  </si>
  <si>
    <t>515738</t>
  </si>
  <si>
    <t>TIN#408</t>
  </si>
  <si>
    <t>Madisco-</t>
  </si>
  <si>
    <t>PSI-784628</t>
  </si>
  <si>
    <t>101865205</t>
  </si>
  <si>
    <t>515366</t>
  </si>
  <si>
    <t>TIN#4120</t>
  </si>
  <si>
    <t>Gitz Stationery</t>
  </si>
  <si>
    <t>592701</t>
  </si>
  <si>
    <t>Bowen &amp; Bowen- Chaa Creek</t>
  </si>
  <si>
    <t>101865202</t>
  </si>
  <si>
    <t>588809</t>
  </si>
  <si>
    <t>TIN#124340</t>
  </si>
  <si>
    <t>Express Auto Parts</t>
  </si>
  <si>
    <t>11648</t>
  </si>
  <si>
    <t>TIN#15480</t>
  </si>
  <si>
    <t>Midwest Steel &amp; Agro Supplies</t>
  </si>
  <si>
    <t>28078</t>
  </si>
  <si>
    <t>TIN#00008</t>
  </si>
  <si>
    <t>Benny's Superstore</t>
  </si>
  <si>
    <t>101-2-549686</t>
  </si>
  <si>
    <t>73202</t>
  </si>
  <si>
    <t>73197</t>
  </si>
  <si>
    <t>TIN#353701</t>
  </si>
  <si>
    <t>Exos Enterprise Co.Ltd</t>
  </si>
  <si>
    <t>1274</t>
  </si>
  <si>
    <t>02-2608000370</t>
  </si>
  <si>
    <t>TIN #000054</t>
  </si>
  <si>
    <t>Belize Electricity Limited</t>
  </si>
  <si>
    <t>28466206</t>
  </si>
  <si>
    <t>28466179</t>
  </si>
  <si>
    <t>TIN #242367</t>
  </si>
  <si>
    <t>AJAW Chocolate Tour</t>
  </si>
  <si>
    <t>260730</t>
  </si>
  <si>
    <t>TIN#246974</t>
  </si>
  <si>
    <t>Design Depot Trading Ltd.</t>
  </si>
  <si>
    <t>DD-25992</t>
  </si>
  <si>
    <t>514222</t>
  </si>
  <si>
    <t>588613</t>
  </si>
  <si>
    <t>TIN#15543</t>
  </si>
  <si>
    <t>Econo Diesel</t>
  </si>
  <si>
    <t>1049559</t>
  </si>
  <si>
    <t>514221</t>
  </si>
  <si>
    <t>d200580073</t>
  </si>
  <si>
    <t>TIN#000093</t>
  </si>
  <si>
    <t>BRC Printing</t>
  </si>
  <si>
    <t>79089</t>
  </si>
  <si>
    <t>TIN#216543</t>
  </si>
  <si>
    <t>Tyre Center of Belize</t>
  </si>
  <si>
    <t>116133</t>
  </si>
  <si>
    <t>04-260800044</t>
  </si>
  <si>
    <t>1261</t>
  </si>
  <si>
    <t>TIN#15410</t>
  </si>
  <si>
    <t>Westrac Ltd.</t>
  </si>
  <si>
    <t>47902</t>
  </si>
  <si>
    <t>1900426</t>
  </si>
  <si>
    <t>243/9927</t>
  </si>
  <si>
    <t>DA172704</t>
  </si>
  <si>
    <t>40631</t>
  </si>
  <si>
    <t>513228</t>
  </si>
  <si>
    <t>1828</t>
  </si>
  <si>
    <t>346649</t>
  </si>
  <si>
    <t>3329365</t>
  </si>
  <si>
    <t>243/9925</t>
  </si>
  <si>
    <t>40629</t>
  </si>
  <si>
    <t>513588</t>
  </si>
  <si>
    <t>TIN#5225</t>
  </si>
  <si>
    <t>Caribbean Chicken</t>
  </si>
  <si>
    <t>506845</t>
  </si>
  <si>
    <t>TIN 289471: Hotel and Restuarant Income</t>
  </si>
  <si>
    <t>John Michael and Lucy Fleming Land Rental</t>
  </si>
  <si>
    <t>983902</t>
  </si>
  <si>
    <t>TIN#192420</t>
  </si>
  <si>
    <t>Techmonkeys Printing Services</t>
  </si>
  <si>
    <t>3309</t>
  </si>
  <si>
    <t>TIN#0162641</t>
  </si>
  <si>
    <t>Reimers' Service Center</t>
  </si>
  <si>
    <t>664213</t>
  </si>
  <si>
    <t>TIN#214981</t>
  </si>
  <si>
    <t>Taurus Blocks &amp; Building</t>
  </si>
  <si>
    <t>3444</t>
  </si>
  <si>
    <t>3458</t>
  </si>
  <si>
    <t>TIN #155070</t>
  </si>
  <si>
    <t>Kungo Belize  / Andy Bahadur</t>
  </si>
  <si>
    <t>695</t>
  </si>
  <si>
    <t>11615</t>
  </si>
  <si>
    <t>11610</t>
  </si>
  <si>
    <t>02-2608000027</t>
  </si>
  <si>
    <t>TIN#179360</t>
  </si>
  <si>
    <t>02-2608000026</t>
  </si>
  <si>
    <t>592415</t>
  </si>
  <si>
    <t>3329172</t>
  </si>
  <si>
    <t>511885</t>
  </si>
  <si>
    <t>101853881</t>
  </si>
  <si>
    <t>101853877</t>
  </si>
  <si>
    <t>TIN#92762</t>
  </si>
  <si>
    <t>GS COM</t>
  </si>
  <si>
    <t>109161</t>
  </si>
  <si>
    <t>510583</t>
  </si>
  <si>
    <t>510558</t>
  </si>
  <si>
    <t>GST on Cash Purchase at Midwest Steel #68646</t>
  </si>
  <si>
    <t>Prime Builders</t>
  </si>
  <si>
    <t>WPROPOSAL</t>
  </si>
  <si>
    <t>General Journal</t>
  </si>
  <si>
    <t>GST on  Cash Purchase at Midwest Steel #25413</t>
  </si>
  <si>
    <t>GST on Cash Purchase at Tai Kong RC-377</t>
  </si>
  <si>
    <t>TIN#322059</t>
  </si>
  <si>
    <t>Dirt Bucket</t>
  </si>
  <si>
    <t>07023613</t>
  </si>
  <si>
    <t>508956</t>
  </si>
  <si>
    <t>DA172686</t>
  </si>
  <si>
    <t>508932</t>
  </si>
  <si>
    <t>PSI-782884</t>
  </si>
  <si>
    <t>2251 · GST Payable - Other</t>
  </si>
  <si>
    <t>Total 2251-a · Partial Exemption GST</t>
  </si>
  <si>
    <t>28466205</t>
  </si>
  <si>
    <t>TIN 289471</t>
  </si>
  <si>
    <t>JMLF98382</t>
  </si>
  <si>
    <t>TIN #107926</t>
  </si>
  <si>
    <t>SMART</t>
  </si>
  <si>
    <t>6626918- JULY</t>
  </si>
  <si>
    <t>626917- JULY</t>
  </si>
  <si>
    <t>6626920- JULY</t>
  </si>
  <si>
    <t>TIN#5112</t>
  </si>
  <si>
    <t>Cayo Television Network</t>
  </si>
  <si>
    <t>072026-AUG26</t>
  </si>
  <si>
    <t>2251-a · Partial Exemption GST</t>
  </si>
  <si>
    <t>2251 · GST Payable</t>
  </si>
  <si>
    <t>Taxes</t>
  </si>
  <si>
    <t>Balance</t>
  </si>
  <si>
    <t>Memo</t>
  </si>
  <si>
    <t>Name</t>
  </si>
  <si>
    <t>Num</t>
  </si>
  <si>
    <t>Date</t>
  </si>
  <si>
    <t>Type</t>
  </si>
  <si>
    <t>Credit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</si>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</sst>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#,##0.00"/>
    <numFmt numFmtId="165" formatCode="mm/dd/yyyy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5" fontId="1" fillId="0" borderId="0" xfId="0" applyNumberFormat="1" applyFont="1"/>
    <xf numFmtId="49" fontId="2" fillId="0" borderId="0" xfId="0" applyNumberFormat="1" applyFont="1"/>
    <xf numFmtId="165" fontId="2" fillId="0" borderId="0" xfId="0" applyNumberFormat="1" applyFont="1"/>
    <xf numFmtId="164" fontId="1" fillId="0" borderId="0" xfId="0" applyNumberFormat="1" applyFon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114300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114300</xdr:colOff>
          <xdr:row>1</xdr:row>
          <xdr:rowOff>28575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914400" cy="228600"/>
        <xdr:sp macro="" textlink="">
          <xdr:nvSpPr>
            <xdr:cNvPr id="4097" name="FIL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BF7E678B-C067-4090-A857-041BAA9D8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914400" cy="228600"/>
        <xdr:sp macro="" textlink="">
          <xdr:nvSpPr>
            <xdr:cNvPr id="4098" name="HEADER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7C0049D-66A1-4236-B944-31B43429D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.xml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3B5B-C0B1-4192-8680-7451917F68BF}">
  <sheetPr codeName="Sheet1"/>
  <dimension ref="A1:I50"/>
  <sheetViews>
    <sheetView workbookViewId="0">
      <pane xSplit="8" ySplit="1" topLeftCell="I2" activePane="bottomRight" state="frozenSplit"/>
      <selection pane="topRight" activeCell="I1" sqref="I1"/>
      <selection pane="bottomLeft" activeCell="A2" sqref="A2"/>
      <selection pane="bottomRight" activeCell="Q31" sqref="Q31"/>
    </sheetView>
  </sheetViews>
  <sheetFormatPr defaultRowHeight="15" x14ac:dyDescent="0.25"/>
  <cols>
    <col min="1" max="7" width="3" style="7" customWidth="1"/>
    <col min="8" max="8" width="31.28515625" style="7" customWidth="1"/>
    <col min="9" max="9" width="10.28515625" bestFit="1" customWidth="1"/>
  </cols>
  <sheetData>
    <row r="1" spans="1:9" s="10" customFormat="1" ht="15.75" thickBot="1" x14ac:dyDescent="0.3">
      <c r="A1" s="8"/>
      <c r="B1" s="8"/>
      <c r="C1" s="8"/>
      <c r="D1" s="8"/>
      <c r="E1" s="8"/>
      <c r="F1" s="8"/>
      <c r="G1" s="8"/>
      <c r="H1" s="8"/>
      <c r="I1" s="9" t="s">
        <v>0</v>
      </c>
    </row>
    <row r="2" spans="1:9" ht="15.75" thickTop="1" x14ac:dyDescent="0.25">
      <c r="A2" s="1"/>
      <c r="B2" s="1" t="s">
        <v>1</v>
      </c>
      <c r="C2" s="1"/>
      <c r="D2" s="1"/>
      <c r="E2" s="1"/>
      <c r="F2" s="1"/>
      <c r="G2" s="1"/>
      <c r="H2" s="1"/>
      <c r="I2" s="2"/>
    </row>
    <row r="3" spans="1:9" x14ac:dyDescent="0.25">
      <c r="A3" s="1"/>
      <c r="B3" s="1"/>
      <c r="C3" s="1"/>
      <c r="D3" s="1" t="s">
        <v>2</v>
      </c>
      <c r="E3" s="1"/>
      <c r="F3" s="1"/>
      <c r="G3" s="1"/>
      <c r="H3" s="1"/>
      <c r="I3" s="2"/>
    </row>
    <row r="4" spans="1:9" x14ac:dyDescent="0.25">
      <c r="A4" s="1"/>
      <c r="B4" s="1"/>
      <c r="C4" s="1"/>
      <c r="D4" s="1"/>
      <c r="E4" s="1" t="s">
        <v>3</v>
      </c>
      <c r="F4" s="1"/>
      <c r="G4" s="1"/>
      <c r="H4" s="1"/>
      <c r="I4" s="2"/>
    </row>
    <row r="5" spans="1:9" x14ac:dyDescent="0.25">
      <c r="A5" s="1"/>
      <c r="B5" s="1"/>
      <c r="C5" s="1"/>
      <c r="D5" s="1"/>
      <c r="E5" s="1"/>
      <c r="F5" s="1" t="s">
        <v>4</v>
      </c>
      <c r="G5" s="1"/>
      <c r="H5" s="1"/>
      <c r="I5" s="2">
        <v>101864.58</v>
      </c>
    </row>
    <row r="6" spans="1:9" x14ac:dyDescent="0.25">
      <c r="A6" s="1"/>
      <c r="B6" s="1"/>
      <c r="C6" s="1"/>
      <c r="D6" s="1"/>
      <c r="E6" s="1"/>
      <c r="F6" s="1" t="s">
        <v>5</v>
      </c>
      <c r="G6" s="1"/>
      <c r="H6" s="1"/>
      <c r="I6" s="2">
        <v>963</v>
      </c>
    </row>
    <row r="7" spans="1:9" x14ac:dyDescent="0.25">
      <c r="A7" s="1"/>
      <c r="B7" s="1"/>
      <c r="C7" s="1"/>
      <c r="D7" s="1"/>
      <c r="E7" s="1"/>
      <c r="F7" s="1" t="s">
        <v>6</v>
      </c>
      <c r="G7" s="1"/>
      <c r="H7" s="1"/>
      <c r="I7" s="2">
        <v>36780.22</v>
      </c>
    </row>
    <row r="8" spans="1:9" x14ac:dyDescent="0.25">
      <c r="A8" s="1"/>
      <c r="B8" s="1"/>
      <c r="C8" s="1"/>
      <c r="D8" s="1"/>
      <c r="E8" s="1"/>
      <c r="F8" s="1" t="s">
        <v>7</v>
      </c>
      <c r="G8" s="1"/>
      <c r="H8" s="1"/>
      <c r="I8" s="2">
        <v>13586.68</v>
      </c>
    </row>
    <row r="9" spans="1:9" x14ac:dyDescent="0.25">
      <c r="A9" s="1"/>
      <c r="B9" s="1"/>
      <c r="C9" s="1"/>
      <c r="D9" s="1"/>
      <c r="E9" s="1"/>
      <c r="F9" s="1" t="s">
        <v>8</v>
      </c>
      <c r="G9" s="1"/>
      <c r="H9" s="1"/>
      <c r="I9" s="2">
        <v>2845.22</v>
      </c>
    </row>
    <row r="10" spans="1:9" x14ac:dyDescent="0.25">
      <c r="A10" s="1"/>
      <c r="B10" s="1"/>
      <c r="C10" s="1"/>
      <c r="D10" s="1"/>
      <c r="E10" s="1"/>
      <c r="F10" s="1" t="s">
        <v>9</v>
      </c>
      <c r="G10" s="1"/>
      <c r="H10" s="1"/>
      <c r="I10" s="2"/>
    </row>
    <row r="11" spans="1:9" x14ac:dyDescent="0.25">
      <c r="A11" s="1"/>
      <c r="B11" s="1"/>
      <c r="C11" s="1"/>
      <c r="D11" s="1"/>
      <c r="E11" s="1"/>
      <c r="F11" s="1"/>
      <c r="G11" s="1" t="s">
        <v>10</v>
      </c>
      <c r="H11" s="1"/>
      <c r="I11" s="2"/>
    </row>
    <row r="12" spans="1:9" x14ac:dyDescent="0.25">
      <c r="A12" s="1"/>
      <c r="B12" s="1"/>
      <c r="C12" s="1"/>
      <c r="D12" s="1"/>
      <c r="E12" s="1"/>
      <c r="F12" s="1"/>
      <c r="G12" s="1"/>
      <c r="H12" s="1" t="s">
        <v>11</v>
      </c>
      <c r="I12" s="2">
        <v>-3468</v>
      </c>
    </row>
    <row r="13" spans="1:9" ht="15.75" thickBot="1" x14ac:dyDescent="0.3">
      <c r="A13" s="1"/>
      <c r="B13" s="1"/>
      <c r="C13" s="1"/>
      <c r="D13" s="1"/>
      <c r="E13" s="1"/>
      <c r="F13" s="1"/>
      <c r="G13" s="1"/>
      <c r="H13" s="1" t="s">
        <v>12</v>
      </c>
      <c r="I13" s="3">
        <v>5926</v>
      </c>
    </row>
    <row r="14" spans="1:9" x14ac:dyDescent="0.25">
      <c r="A14" s="1"/>
      <c r="B14" s="1"/>
      <c r="C14" s="1"/>
      <c r="D14" s="1"/>
      <c r="E14" s="1"/>
      <c r="F14" s="1"/>
      <c r="G14" s="1" t="s">
        <v>13</v>
      </c>
      <c r="H14" s="1"/>
      <c r="I14" s="2">
        <f>ROUND(SUM(I11:I13),5)</f>
        <v>2458</v>
      </c>
    </row>
    <row r="15" spans="1:9" x14ac:dyDescent="0.25">
      <c r="A15" s="1"/>
      <c r="B15" s="1"/>
      <c r="C15" s="1"/>
      <c r="D15" s="1"/>
      <c r="E15" s="1"/>
      <c r="F15" s="1"/>
      <c r="G15" s="1" t="s">
        <v>14</v>
      </c>
      <c r="H15" s="1"/>
      <c r="I15" s="2"/>
    </row>
    <row r="16" spans="1:9" x14ac:dyDescent="0.25">
      <c r="A16" s="1"/>
      <c r="B16" s="1"/>
      <c r="C16" s="1"/>
      <c r="D16" s="1"/>
      <c r="E16" s="1"/>
      <c r="F16" s="1"/>
      <c r="G16" s="1"/>
      <c r="H16" s="1" t="s">
        <v>15</v>
      </c>
      <c r="I16" s="2">
        <v>-1145</v>
      </c>
    </row>
    <row r="17" spans="1:9" x14ac:dyDescent="0.25">
      <c r="A17" s="1"/>
      <c r="B17" s="1"/>
      <c r="C17" s="1"/>
      <c r="D17" s="1"/>
      <c r="E17" s="1"/>
      <c r="F17" s="1"/>
      <c r="G17" s="1"/>
      <c r="H17" s="1" t="s">
        <v>16</v>
      </c>
      <c r="I17" s="2">
        <v>-1040</v>
      </c>
    </row>
    <row r="18" spans="1:9" ht="15.75" thickBot="1" x14ac:dyDescent="0.3">
      <c r="A18" s="1"/>
      <c r="B18" s="1"/>
      <c r="C18" s="1"/>
      <c r="D18" s="1"/>
      <c r="E18" s="1"/>
      <c r="F18" s="1"/>
      <c r="G18" s="1"/>
      <c r="H18" s="1" t="s">
        <v>17</v>
      </c>
      <c r="I18" s="2">
        <v>27466.799999999999</v>
      </c>
    </row>
    <row r="19" spans="1:9" ht="15.75" thickBot="1" x14ac:dyDescent="0.3">
      <c r="A19" s="1"/>
      <c r="B19" s="1"/>
      <c r="C19" s="1"/>
      <c r="D19" s="1"/>
      <c r="E19" s="1"/>
      <c r="F19" s="1"/>
      <c r="G19" s="1" t="s">
        <v>18</v>
      </c>
      <c r="H19" s="1"/>
      <c r="I19" s="4">
        <f>ROUND(SUM(I15:I18),5)</f>
        <v>25281.8</v>
      </c>
    </row>
    <row r="20" spans="1:9" x14ac:dyDescent="0.25">
      <c r="A20" s="1"/>
      <c r="B20" s="1"/>
      <c r="C20" s="1"/>
      <c r="D20" s="1"/>
      <c r="E20" s="1"/>
      <c r="F20" s="1" t="s">
        <v>19</v>
      </c>
      <c r="G20" s="1"/>
      <c r="H20" s="1"/>
      <c r="I20" s="2">
        <f>ROUND(I10+I14+I19,5)</f>
        <v>27739.8</v>
      </c>
    </row>
    <row r="21" spans="1:9" x14ac:dyDescent="0.25">
      <c r="A21" s="1"/>
      <c r="B21" s="1"/>
      <c r="C21" s="1"/>
      <c r="D21" s="1"/>
      <c r="E21" s="1"/>
      <c r="F21" s="1" t="s">
        <v>20</v>
      </c>
      <c r="G21" s="1"/>
      <c r="H21" s="1"/>
      <c r="I21" s="2"/>
    </row>
    <row r="22" spans="1:9" x14ac:dyDescent="0.25">
      <c r="A22" s="1"/>
      <c r="B22" s="1"/>
      <c r="C22" s="1"/>
      <c r="D22" s="1"/>
      <c r="E22" s="1"/>
      <c r="F22" s="1"/>
      <c r="G22" s="1" t="s">
        <v>21</v>
      </c>
      <c r="H22" s="1"/>
      <c r="I22" s="2">
        <v>202.32</v>
      </c>
    </row>
    <row r="23" spans="1:9" x14ac:dyDescent="0.25">
      <c r="A23" s="1"/>
      <c r="B23" s="1"/>
      <c r="C23" s="1"/>
      <c r="D23" s="1"/>
      <c r="E23" s="1"/>
      <c r="F23" s="1"/>
      <c r="G23" s="1" t="s">
        <v>22</v>
      </c>
      <c r="H23" s="1"/>
      <c r="I23" s="2">
        <v>120</v>
      </c>
    </row>
    <row r="24" spans="1:9" ht="15.75" thickBot="1" x14ac:dyDescent="0.3">
      <c r="A24" s="1"/>
      <c r="B24" s="1"/>
      <c r="C24" s="1"/>
      <c r="D24" s="1"/>
      <c r="E24" s="1"/>
      <c r="F24" s="1"/>
      <c r="G24" s="1" t="s">
        <v>23</v>
      </c>
      <c r="H24" s="1"/>
      <c r="I24" s="3">
        <v>8.8800000000000008</v>
      </c>
    </row>
    <row r="25" spans="1:9" x14ac:dyDescent="0.25">
      <c r="A25" s="1"/>
      <c r="B25" s="1"/>
      <c r="C25" s="1"/>
      <c r="D25" s="1"/>
      <c r="E25" s="1"/>
      <c r="F25" s="1" t="s">
        <v>24</v>
      </c>
      <c r="G25" s="1"/>
      <c r="H25" s="1"/>
      <c r="I25" s="2">
        <f>ROUND(SUM(I21:I24),5)</f>
        <v>331.2</v>
      </c>
    </row>
    <row r="26" spans="1:9" x14ac:dyDescent="0.25">
      <c r="A26" s="1"/>
      <c r="B26" s="1"/>
      <c r="C26" s="1"/>
      <c r="D26" s="1"/>
      <c r="E26" s="1"/>
      <c r="F26" s="1" t="s">
        <v>25</v>
      </c>
      <c r="G26" s="1"/>
      <c r="H26" s="1"/>
      <c r="I26" s="2"/>
    </row>
    <row r="27" spans="1:9" x14ac:dyDescent="0.25">
      <c r="A27" s="1"/>
      <c r="B27" s="1"/>
      <c r="C27" s="1"/>
      <c r="D27" s="1"/>
      <c r="E27" s="1"/>
      <c r="F27" s="1"/>
      <c r="G27" s="1" t="s">
        <v>26</v>
      </c>
      <c r="H27" s="1"/>
      <c r="I27" s="2">
        <v>360</v>
      </c>
    </row>
    <row r="28" spans="1:9" x14ac:dyDescent="0.25">
      <c r="A28" s="1"/>
      <c r="B28" s="1"/>
      <c r="C28" s="1"/>
      <c r="D28" s="1"/>
      <c r="E28" s="1"/>
      <c r="F28" s="1"/>
      <c r="G28" s="1" t="s">
        <v>27</v>
      </c>
      <c r="H28" s="1"/>
      <c r="I28" s="2">
        <v>3322.88</v>
      </c>
    </row>
    <row r="29" spans="1:9" x14ac:dyDescent="0.25">
      <c r="A29" s="1"/>
      <c r="B29" s="1"/>
      <c r="C29" s="1"/>
      <c r="D29" s="1"/>
      <c r="E29" s="1"/>
      <c r="F29" s="1"/>
      <c r="G29" s="1" t="s">
        <v>28</v>
      </c>
      <c r="H29" s="1"/>
      <c r="I29" s="2">
        <v>1550</v>
      </c>
    </row>
    <row r="30" spans="1:9" x14ac:dyDescent="0.25">
      <c r="A30" s="1"/>
      <c r="B30" s="1"/>
      <c r="C30" s="1"/>
      <c r="D30" s="1"/>
      <c r="E30" s="1"/>
      <c r="F30" s="1"/>
      <c r="G30" s="1" t="s">
        <v>29</v>
      </c>
      <c r="H30" s="1"/>
      <c r="I30" s="2">
        <v>154.24</v>
      </c>
    </row>
    <row r="31" spans="1:9" x14ac:dyDescent="0.25">
      <c r="A31" s="1"/>
      <c r="B31" s="1"/>
      <c r="C31" s="1"/>
      <c r="D31" s="1"/>
      <c r="E31" s="1"/>
      <c r="F31" s="1"/>
      <c r="G31" s="1" t="s">
        <v>30</v>
      </c>
      <c r="H31" s="1"/>
      <c r="I31" s="2">
        <v>2970</v>
      </c>
    </row>
    <row r="32" spans="1:9" x14ac:dyDescent="0.25">
      <c r="A32" s="1"/>
      <c r="B32" s="1"/>
      <c r="C32" s="1"/>
      <c r="D32" s="1"/>
      <c r="E32" s="1"/>
      <c r="F32" s="1"/>
      <c r="G32" s="1" t="s">
        <v>31</v>
      </c>
      <c r="H32" s="1"/>
      <c r="I32" s="2">
        <v>1120</v>
      </c>
    </row>
    <row r="33" spans="1:9" ht="15.75" thickBot="1" x14ac:dyDescent="0.3">
      <c r="A33" s="1"/>
      <c r="B33" s="1"/>
      <c r="C33" s="1"/>
      <c r="D33" s="1"/>
      <c r="E33" s="1"/>
      <c r="F33" s="1"/>
      <c r="G33" s="1" t="s">
        <v>32</v>
      </c>
      <c r="H33" s="1"/>
      <c r="I33" s="3">
        <v>154</v>
      </c>
    </row>
    <row r="34" spans="1:9" x14ac:dyDescent="0.25">
      <c r="A34" s="1"/>
      <c r="B34" s="1"/>
      <c r="C34" s="1"/>
      <c r="D34" s="1"/>
      <c r="E34" s="1"/>
      <c r="F34" s="1" t="s">
        <v>33</v>
      </c>
      <c r="G34" s="1"/>
      <c r="H34" s="1"/>
      <c r="I34" s="2">
        <f>ROUND(SUM(I26:I33),5)</f>
        <v>9631.1200000000008</v>
      </c>
    </row>
    <row r="35" spans="1:9" x14ac:dyDescent="0.25">
      <c r="A35" s="1"/>
      <c r="B35" s="1"/>
      <c r="C35" s="1"/>
      <c r="D35" s="1"/>
      <c r="E35" s="1"/>
      <c r="F35" s="1" t="s">
        <v>34</v>
      </c>
      <c r="G35" s="1"/>
      <c r="H35" s="1"/>
      <c r="I35" s="2"/>
    </row>
    <row r="36" spans="1:9" x14ac:dyDescent="0.25">
      <c r="A36" s="1"/>
      <c r="B36" s="1"/>
      <c r="C36" s="1"/>
      <c r="D36" s="1"/>
      <c r="E36" s="1"/>
      <c r="F36" s="1"/>
      <c r="G36" s="1" t="s">
        <v>35</v>
      </c>
      <c r="H36" s="1"/>
      <c r="I36" s="2">
        <v>160</v>
      </c>
    </row>
    <row r="37" spans="1:9" x14ac:dyDescent="0.25">
      <c r="A37" s="1"/>
      <c r="B37" s="1"/>
      <c r="C37" s="1"/>
      <c r="D37" s="1"/>
      <c r="E37" s="1"/>
      <c r="F37" s="1"/>
      <c r="G37" s="1" t="s">
        <v>36</v>
      </c>
      <c r="H37" s="1"/>
      <c r="I37" s="2">
        <v>704.5</v>
      </c>
    </row>
    <row r="38" spans="1:9" x14ac:dyDescent="0.25">
      <c r="A38" s="1"/>
      <c r="B38" s="1"/>
      <c r="C38" s="1"/>
      <c r="D38" s="1"/>
      <c r="E38" s="1"/>
      <c r="F38" s="1"/>
      <c r="G38" s="1" t="s">
        <v>37</v>
      </c>
      <c r="H38" s="1"/>
      <c r="I38" s="2">
        <v>106.72</v>
      </c>
    </row>
    <row r="39" spans="1:9" ht="15.75" thickBot="1" x14ac:dyDescent="0.3">
      <c r="A39" s="1"/>
      <c r="B39" s="1"/>
      <c r="C39" s="1"/>
      <c r="D39" s="1"/>
      <c r="E39" s="1"/>
      <c r="F39" s="1"/>
      <c r="G39" s="1" t="s">
        <v>38</v>
      </c>
      <c r="H39" s="1"/>
      <c r="I39" s="2">
        <v>630</v>
      </c>
    </row>
    <row r="40" spans="1:9" ht="15.75" thickBot="1" x14ac:dyDescent="0.3">
      <c r="A40" s="1"/>
      <c r="B40" s="1"/>
      <c r="C40" s="1"/>
      <c r="D40" s="1"/>
      <c r="E40" s="1"/>
      <c r="F40" s="1" t="s">
        <v>39</v>
      </c>
      <c r="G40" s="1"/>
      <c r="H40" s="1"/>
      <c r="I40" s="4">
        <f>ROUND(SUM(I35:I39),5)</f>
        <v>1601.22</v>
      </c>
    </row>
    <row r="41" spans="1:9" x14ac:dyDescent="0.25">
      <c r="A41" s="1"/>
      <c r="B41" s="1"/>
      <c r="C41" s="1"/>
      <c r="D41" s="1"/>
      <c r="E41" s="1" t="s">
        <v>40</v>
      </c>
      <c r="F41" s="1"/>
      <c r="G41" s="1"/>
      <c r="H41" s="1"/>
      <c r="I41" s="2">
        <f>ROUND(SUM(I4:I9)+I20+I25+I34+I40,5)</f>
        <v>195343.04</v>
      </c>
    </row>
    <row r="42" spans="1:9" x14ac:dyDescent="0.25">
      <c r="A42" s="1"/>
      <c r="B42" s="1"/>
      <c r="C42" s="1"/>
      <c r="D42" s="1"/>
      <c r="E42" s="1" t="s">
        <v>41</v>
      </c>
      <c r="F42" s="1"/>
      <c r="G42" s="1"/>
      <c r="H42" s="1"/>
      <c r="I42" s="2"/>
    </row>
    <row r="43" spans="1:9" x14ac:dyDescent="0.25">
      <c r="A43" s="1"/>
      <c r="B43" s="1"/>
      <c r="C43" s="1"/>
      <c r="D43" s="1"/>
      <c r="E43" s="1"/>
      <c r="F43" s="1" t="s">
        <v>42</v>
      </c>
      <c r="G43" s="1"/>
      <c r="H43" s="1"/>
      <c r="I43" s="2">
        <v>59604.82</v>
      </c>
    </row>
    <row r="44" spans="1:9" ht="15.75" thickBot="1" x14ac:dyDescent="0.3">
      <c r="A44" s="1"/>
      <c r="B44" s="1"/>
      <c r="C44" s="1"/>
      <c r="D44" s="1"/>
      <c r="E44" s="1"/>
      <c r="F44" s="1" t="s">
        <v>43</v>
      </c>
      <c r="G44" s="1"/>
      <c r="H44" s="1"/>
      <c r="I44" s="2">
        <v>13602.35</v>
      </c>
    </row>
    <row r="45" spans="1:9" ht="15.75" thickBot="1" x14ac:dyDescent="0.3">
      <c r="A45" s="1"/>
      <c r="B45" s="1"/>
      <c r="C45" s="1"/>
      <c r="D45" s="1"/>
      <c r="E45" s="1" t="s">
        <v>44</v>
      </c>
      <c r="F45" s="1"/>
      <c r="G45" s="1"/>
      <c r="H45" s="1"/>
      <c r="I45" s="5">
        <f>ROUND(SUM(I42:I44),5)</f>
        <v>73207.17</v>
      </c>
    </row>
    <row r="46" spans="1:9" ht="15.75" thickBot="1" x14ac:dyDescent="0.3">
      <c r="A46" s="1"/>
      <c r="B46" s="1"/>
      <c r="C46" s="1"/>
      <c r="D46" s="1" t="s">
        <v>45</v>
      </c>
      <c r="E46" s="1"/>
      <c r="F46" s="1"/>
      <c r="G46" s="1"/>
      <c r="H46" s="1"/>
      <c r="I46" s="5">
        <f>ROUND(I3+I41+I45,5)</f>
        <v>268550.21000000002</v>
      </c>
    </row>
    <row r="47" spans="1:9" ht="15.75" thickBot="1" x14ac:dyDescent="0.3">
      <c r="A47" s="1"/>
      <c r="B47" s="1"/>
      <c r="C47" s="1" t="s">
        <v>46</v>
      </c>
      <c r="D47" s="1"/>
      <c r="E47" s="1"/>
      <c r="F47" s="1"/>
      <c r="G47" s="1"/>
      <c r="H47" s="1"/>
      <c r="I47" s="5">
        <f>I46</f>
        <v>268550.21000000002</v>
      </c>
    </row>
    <row r="48" spans="1:9" ht="15.75" thickBot="1" x14ac:dyDescent="0.3">
      <c r="A48" s="1"/>
      <c r="B48" s="1" t="s">
        <v>47</v>
      </c>
      <c r="C48" s="1"/>
      <c r="D48" s="1"/>
      <c r="E48" s="1"/>
      <c r="F48" s="1"/>
      <c r="G48" s="1"/>
      <c r="H48" s="1"/>
      <c r="I48" s="5">
        <f>ROUND(I2+I47,5)</f>
        <v>268550.21000000002</v>
      </c>
    </row>
    <row r="49" spans="1:9" s="7" customFormat="1" ht="12" thickBot="1" x14ac:dyDescent="0.25">
      <c r="A49" s="1" t="s">
        <v>48</v>
      </c>
      <c r="B49" s="1"/>
      <c r="C49" s="1"/>
      <c r="D49" s="1"/>
      <c r="E49" s="1"/>
      <c r="F49" s="1"/>
      <c r="G49" s="1"/>
      <c r="H49" s="1"/>
      <c r="I49" s="6">
        <f>I48</f>
        <v>268550.21000000002</v>
      </c>
    </row>
    <row r="50" spans="1:9" ht="15.75" thickTop="1" x14ac:dyDescent="0.25"/>
  </sheetData>
  <pageMargins left="0.7" right="0.7" top="0.75" bottom="0.75" header="0.1" footer="0.3"/>
  <pageSetup paperSize="9" orientation="portrait" horizontalDpi="0" verticalDpi="0" r:id="rId1"/>
  <headerFooter>
    <oddHeader>&amp;L&amp;"Arial,Bold"&amp;8 12:45 PM
&amp;"Arial,Bold"&amp;8 08/25/26
&amp;"Arial,Bold"&amp;8 Accrual Basis&amp;C&amp;"Arial,Bold"&amp;12 Chaa Creek Ltd
&amp;"Arial,Bold"&amp;14 Profit &amp;&amp; Loss
&amp;"Arial,Bold"&amp;10 August 1 - 8,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114300</xdr:colOff>
                <xdr:row>1</xdr:row>
                <xdr:rowOff>28575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114300</xdr:colOff>
                <xdr:row>1</xdr:row>
                <xdr:rowOff>28575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160D-9ADD-4ACA-8AB0-7A449FEE3936}">
  <sheetPr codeName="Sheet2"/>
  <dimension ref="A1:U103"/>
  <sheetViews>
    <sheetView tabSelected="1"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 activeCell="AD19" sqref="AD19"/>
    </sheetView>
  </sheetViews>
  <sheetFormatPr defaultRowHeight="15" x14ac:dyDescent="0.25"/>
  <cols>
    <col min="1" max="3" width="3" customWidth="1"/>
    <col min="4" max="4" width="26.5703125" customWidth="1"/>
    <col min="5" max="6" width="2.28515625" customWidth="1"/>
    <col min="7" max="7" width="11.85546875" bestFit="1" customWidth="1"/>
    <col min="8" max="8" width="2.28515625" customWidth="1"/>
    <col min="9" max="9" width="8.7109375" bestFit="1" customWidth="1"/>
    <col min="10" max="10" width="2.28515625" customWidth="1"/>
    <col min="11" max="11" width="11.85546875" bestFit="1" customWidth="1"/>
    <col min="12" max="12" width="2.28515625" customWidth="1"/>
    <col min="13" max="13" width="30.7109375" customWidth="1"/>
    <col min="14" max="14" width="2.28515625" customWidth="1"/>
    <col min="15" max="15" width="30.7109375" customWidth="1"/>
    <col min="16" max="16" width="2.28515625" customWidth="1"/>
    <col min="17" max="17" width="7.85546875" bestFit="1" customWidth="1"/>
    <col min="18" max="18" width="2.28515625" customWidth="1"/>
    <col min="19" max="19" width="5.85546875" bestFit="1" customWidth="1"/>
    <col min="20" max="20" width="2.28515625" customWidth="1"/>
    <col min="21" max="21" width="8.42578125" bestFit="1" customWidth="1"/>
  </cols>
  <sheetData>
    <row r="1" spans="1:21" s="10" customFormat="1" ht="15.75" thickBot="1" x14ac:dyDescent="0.3">
      <c r="A1" s="15"/>
      <c r="B1" s="15"/>
      <c r="C1" s="15"/>
      <c r="D1" s="15"/>
      <c r="E1" s="15"/>
      <c r="F1" s="15"/>
      <c r="G1" s="9" t="s">
        <v>238</v>
      </c>
      <c r="H1" s="15"/>
      <c r="I1" s="9" t="s">
        <v>237</v>
      </c>
      <c r="J1" s="15"/>
      <c r="K1" s="9" t="s">
        <v>236</v>
      </c>
      <c r="L1" s="15"/>
      <c r="M1" s="9" t="s">
        <v>235</v>
      </c>
      <c r="N1" s="15"/>
      <c r="O1" s="9" t="s">
        <v>234</v>
      </c>
      <c r="P1" s="15"/>
      <c r="Q1" s="9" t="s">
        <v>240</v>
      </c>
      <c r="R1" s="15"/>
      <c r="S1" s="9" t="s">
        <v>239</v>
      </c>
      <c r="T1" s="15"/>
      <c r="U1" s="9" t="s">
        <v>233</v>
      </c>
    </row>
    <row r="2" spans="1:21" ht="15.75" thickTop="1" x14ac:dyDescent="0.25">
      <c r="A2" s="1"/>
      <c r="B2" s="1" t="s">
        <v>232</v>
      </c>
      <c r="C2" s="1"/>
      <c r="D2" s="1"/>
      <c r="E2" s="1"/>
      <c r="F2" s="1"/>
      <c r="G2" s="1"/>
      <c r="H2" s="1"/>
      <c r="I2" s="11"/>
      <c r="J2" s="1"/>
      <c r="K2" s="1"/>
      <c r="L2" s="1"/>
      <c r="M2" s="1"/>
      <c r="N2" s="1"/>
      <c r="O2" s="1"/>
      <c r="P2" s="1"/>
      <c r="Q2" s="14"/>
      <c r="R2" s="1"/>
      <c r="S2" s="14"/>
      <c r="T2" s="1"/>
      <c r="U2" s="14">
        <v>0</v>
      </c>
    </row>
    <row r="3" spans="1:21" x14ac:dyDescent="0.25">
      <c r="A3" s="1"/>
      <c r="B3" s="1"/>
      <c r="C3" s="1" t="s">
        <v>231</v>
      </c>
      <c r="D3" s="1"/>
      <c r="E3" s="1"/>
      <c r="F3" s="1"/>
      <c r="G3" s="1"/>
      <c r="H3" s="1"/>
      <c r="I3" s="11"/>
      <c r="J3" s="1"/>
      <c r="K3" s="1"/>
      <c r="L3" s="1"/>
      <c r="M3" s="1"/>
      <c r="N3" s="1"/>
      <c r="O3" s="1"/>
      <c r="P3" s="1"/>
      <c r="Q3" s="14"/>
      <c r="R3" s="1"/>
      <c r="S3" s="14"/>
      <c r="T3" s="1"/>
      <c r="U3" s="14">
        <v>0</v>
      </c>
    </row>
    <row r="4" spans="1:21" x14ac:dyDescent="0.25">
      <c r="A4" s="1"/>
      <c r="B4" s="1"/>
      <c r="C4" s="1"/>
      <c r="D4" s="1" t="s">
        <v>230</v>
      </c>
      <c r="E4" s="1"/>
      <c r="F4" s="1"/>
      <c r="G4" s="1"/>
      <c r="H4" s="1"/>
      <c r="I4" s="11"/>
      <c r="J4" s="1"/>
      <c r="K4" s="1"/>
      <c r="L4" s="1"/>
      <c r="M4" s="1"/>
      <c r="N4" s="1"/>
      <c r="O4" s="1"/>
      <c r="P4" s="1"/>
      <c r="Q4" s="14"/>
      <c r="R4" s="1"/>
      <c r="S4" s="14"/>
      <c r="T4" s="1"/>
      <c r="U4" s="14">
        <v>0</v>
      </c>
    </row>
    <row r="5" spans="1:21" x14ac:dyDescent="0.25">
      <c r="A5" s="12"/>
      <c r="B5" s="12"/>
      <c r="C5" s="12"/>
      <c r="D5" s="12"/>
      <c r="E5" s="12"/>
      <c r="F5" s="12"/>
      <c r="G5" s="12" t="s">
        <v>56</v>
      </c>
      <c r="H5" s="12"/>
      <c r="I5" s="13">
        <v>46235</v>
      </c>
      <c r="J5" s="12"/>
      <c r="K5" s="12" t="s">
        <v>229</v>
      </c>
      <c r="L5" s="12"/>
      <c r="M5" s="12" t="s">
        <v>228</v>
      </c>
      <c r="N5" s="12"/>
      <c r="O5" s="12" t="s">
        <v>227</v>
      </c>
      <c r="P5" s="12"/>
      <c r="Q5" s="2">
        <v>326.25</v>
      </c>
      <c r="R5" s="12"/>
      <c r="S5" s="2"/>
      <c r="T5" s="12"/>
      <c r="U5" s="2">
        <v>-326.25</v>
      </c>
    </row>
    <row r="6" spans="1:21" x14ac:dyDescent="0.25">
      <c r="A6" s="12"/>
      <c r="B6" s="12"/>
      <c r="C6" s="12"/>
      <c r="D6" s="12"/>
      <c r="E6" s="12"/>
      <c r="F6" s="12"/>
      <c r="G6" s="12" t="s">
        <v>56</v>
      </c>
      <c r="H6" s="12"/>
      <c r="I6" s="13">
        <v>46235</v>
      </c>
      <c r="J6" s="12"/>
      <c r="K6" s="12" t="s">
        <v>226</v>
      </c>
      <c r="L6" s="12"/>
      <c r="M6" s="12" t="s">
        <v>223</v>
      </c>
      <c r="N6" s="12"/>
      <c r="O6" s="12" t="s">
        <v>222</v>
      </c>
      <c r="P6" s="12"/>
      <c r="Q6" s="2">
        <v>2.36</v>
      </c>
      <c r="R6" s="12"/>
      <c r="S6" s="2"/>
      <c r="T6" s="12"/>
      <c r="U6" s="2">
        <v>-328.61</v>
      </c>
    </row>
    <row r="7" spans="1:21" x14ac:dyDescent="0.25">
      <c r="A7" s="12"/>
      <c r="B7" s="12"/>
      <c r="C7" s="12"/>
      <c r="D7" s="12"/>
      <c r="E7" s="12"/>
      <c r="F7" s="12"/>
      <c r="G7" s="12" t="s">
        <v>56</v>
      </c>
      <c r="H7" s="12"/>
      <c r="I7" s="13">
        <v>46235</v>
      </c>
      <c r="J7" s="12"/>
      <c r="K7" s="12" t="s">
        <v>225</v>
      </c>
      <c r="L7" s="12"/>
      <c r="M7" s="12" t="s">
        <v>223</v>
      </c>
      <c r="N7" s="12"/>
      <c r="O7" s="12" t="s">
        <v>222</v>
      </c>
      <c r="P7" s="12"/>
      <c r="Q7" s="2">
        <v>77.709999999999994</v>
      </c>
      <c r="R7" s="12"/>
      <c r="S7" s="2"/>
      <c r="T7" s="12"/>
      <c r="U7" s="2">
        <v>-406.32</v>
      </c>
    </row>
    <row r="8" spans="1:21" x14ac:dyDescent="0.25">
      <c r="A8" s="12"/>
      <c r="B8" s="12"/>
      <c r="C8" s="12"/>
      <c r="D8" s="12"/>
      <c r="E8" s="12"/>
      <c r="F8" s="12"/>
      <c r="G8" s="12" t="s">
        <v>56</v>
      </c>
      <c r="H8" s="12"/>
      <c r="I8" s="13">
        <v>46235</v>
      </c>
      <c r="J8" s="12"/>
      <c r="K8" s="12" t="s">
        <v>224</v>
      </c>
      <c r="L8" s="12"/>
      <c r="M8" s="12" t="s">
        <v>223</v>
      </c>
      <c r="N8" s="12"/>
      <c r="O8" s="12" t="s">
        <v>222</v>
      </c>
      <c r="P8" s="12"/>
      <c r="Q8" s="2">
        <v>6.25</v>
      </c>
      <c r="R8" s="12"/>
      <c r="S8" s="2"/>
      <c r="T8" s="12"/>
      <c r="U8" s="2">
        <v>-412.57</v>
      </c>
    </row>
    <row r="9" spans="1:21" x14ac:dyDescent="0.25">
      <c r="A9" s="12"/>
      <c r="B9" s="12"/>
      <c r="C9" s="12"/>
      <c r="D9" s="12"/>
      <c r="E9" s="12"/>
      <c r="F9" s="12"/>
      <c r="G9" s="12" t="s">
        <v>56</v>
      </c>
      <c r="H9" s="12"/>
      <c r="I9" s="13">
        <v>46238</v>
      </c>
      <c r="J9" s="12"/>
      <c r="K9" s="12" t="s">
        <v>221</v>
      </c>
      <c r="L9" s="12"/>
      <c r="M9" s="12" t="s">
        <v>174</v>
      </c>
      <c r="N9" s="12"/>
      <c r="O9" s="12" t="s">
        <v>220</v>
      </c>
      <c r="P9" s="12"/>
      <c r="Q9" s="2">
        <v>1250</v>
      </c>
      <c r="R9" s="12"/>
      <c r="S9" s="2"/>
      <c r="T9" s="12"/>
      <c r="U9" s="2">
        <v>-1662.57</v>
      </c>
    </row>
    <row r="10" spans="1:21" ht="15.75" thickBot="1" x14ac:dyDescent="0.3">
      <c r="A10" s="12"/>
      <c r="B10" s="12"/>
      <c r="C10" s="12"/>
      <c r="D10" s="12"/>
      <c r="E10" s="12"/>
      <c r="F10" s="12"/>
      <c r="G10" s="12" t="s">
        <v>56</v>
      </c>
      <c r="H10" s="12"/>
      <c r="I10" s="13">
        <v>46239</v>
      </c>
      <c r="J10" s="12"/>
      <c r="K10" s="12" t="s">
        <v>219</v>
      </c>
      <c r="L10" s="12"/>
      <c r="M10" s="12" t="s">
        <v>132</v>
      </c>
      <c r="N10" s="12"/>
      <c r="O10" s="12" t="s">
        <v>131</v>
      </c>
      <c r="P10" s="12"/>
      <c r="Q10" s="3">
        <v>75.099999999999994</v>
      </c>
      <c r="R10" s="12"/>
      <c r="S10" s="3"/>
      <c r="T10" s="12"/>
      <c r="U10" s="3">
        <v>-1737.67</v>
      </c>
    </row>
    <row r="11" spans="1:21" x14ac:dyDescent="0.25">
      <c r="A11" s="12"/>
      <c r="B11" s="12"/>
      <c r="C11" s="12"/>
      <c r="D11" s="12" t="s">
        <v>218</v>
      </c>
      <c r="E11" s="12"/>
      <c r="F11" s="12"/>
      <c r="G11" s="12"/>
      <c r="H11" s="12"/>
      <c r="I11" s="13"/>
      <c r="J11" s="12"/>
      <c r="K11" s="12"/>
      <c r="L11" s="12"/>
      <c r="M11" s="12"/>
      <c r="N11" s="12"/>
      <c r="O11" s="12"/>
      <c r="P11" s="12"/>
      <c r="Q11" s="2">
        <f>ROUND(SUM(Q4:Q10),5)</f>
        <v>1737.67</v>
      </c>
      <c r="R11" s="12"/>
      <c r="S11" s="2">
        <f>ROUND(SUM(S4:S10),5)</f>
        <v>0</v>
      </c>
      <c r="T11" s="12"/>
      <c r="U11" s="2">
        <f>U10</f>
        <v>-1737.67</v>
      </c>
    </row>
    <row r="12" spans="1:21" x14ac:dyDescent="0.25">
      <c r="A12" s="1"/>
      <c r="B12" s="1"/>
      <c r="C12" s="1"/>
      <c r="D12" s="1" t="s">
        <v>217</v>
      </c>
      <c r="E12" s="1"/>
      <c r="F12" s="1"/>
      <c r="G12" s="1"/>
      <c r="H12" s="1"/>
      <c r="I12" s="11"/>
      <c r="J12" s="1"/>
      <c r="K12" s="1"/>
      <c r="L12" s="1"/>
      <c r="M12" s="1"/>
      <c r="N12" s="1"/>
      <c r="O12" s="1"/>
      <c r="P12" s="1"/>
      <c r="Q12" s="14"/>
      <c r="R12" s="1"/>
      <c r="S12" s="14"/>
      <c r="T12" s="1"/>
      <c r="U12" s="14">
        <v>0</v>
      </c>
    </row>
    <row r="13" spans="1:21" x14ac:dyDescent="0.25">
      <c r="A13" s="12"/>
      <c r="B13" s="12"/>
      <c r="C13" s="12"/>
      <c r="D13" s="12"/>
      <c r="E13" s="12"/>
      <c r="F13" s="12"/>
      <c r="G13" s="12" t="s">
        <v>56</v>
      </c>
      <c r="H13" s="12"/>
      <c r="I13" s="13">
        <v>46235</v>
      </c>
      <c r="J13" s="12"/>
      <c r="K13" s="12" t="s">
        <v>216</v>
      </c>
      <c r="L13" s="12"/>
      <c r="M13" s="12" t="s">
        <v>106</v>
      </c>
      <c r="N13" s="12"/>
      <c r="O13" s="12" t="s">
        <v>105</v>
      </c>
      <c r="P13" s="12"/>
      <c r="Q13" s="2">
        <v>18.89</v>
      </c>
      <c r="R13" s="12"/>
      <c r="S13" s="2"/>
      <c r="T13" s="12"/>
      <c r="U13" s="2">
        <v>-18.89</v>
      </c>
    </row>
    <row r="14" spans="1:21" x14ac:dyDescent="0.25">
      <c r="A14" s="12"/>
      <c r="B14" s="12"/>
      <c r="C14" s="12"/>
      <c r="D14" s="12"/>
      <c r="E14" s="12"/>
      <c r="F14" s="12"/>
      <c r="G14" s="12" t="s">
        <v>56</v>
      </c>
      <c r="H14" s="12"/>
      <c r="I14" s="13">
        <v>46235</v>
      </c>
      <c r="J14" s="12"/>
      <c r="K14" s="12" t="s">
        <v>215</v>
      </c>
      <c r="L14" s="12"/>
      <c r="M14" s="12" t="s">
        <v>54</v>
      </c>
      <c r="N14" s="12"/>
      <c r="O14" s="12" t="s">
        <v>53</v>
      </c>
      <c r="P14" s="12"/>
      <c r="Q14" s="2">
        <v>9.58</v>
      </c>
      <c r="R14" s="12"/>
      <c r="S14" s="2"/>
      <c r="T14" s="12"/>
      <c r="U14" s="2">
        <v>-28.47</v>
      </c>
    </row>
    <row r="15" spans="1:21" x14ac:dyDescent="0.25">
      <c r="A15" s="12"/>
      <c r="B15" s="12"/>
      <c r="C15" s="12"/>
      <c r="D15" s="12"/>
      <c r="E15" s="12"/>
      <c r="F15" s="12"/>
      <c r="G15" s="12" t="s">
        <v>56</v>
      </c>
      <c r="H15" s="12"/>
      <c r="I15" s="13">
        <v>46235</v>
      </c>
      <c r="J15" s="12"/>
      <c r="K15" s="12" t="s">
        <v>214</v>
      </c>
      <c r="L15" s="12"/>
      <c r="M15" s="12" t="s">
        <v>88</v>
      </c>
      <c r="N15" s="12"/>
      <c r="O15" s="12" t="s">
        <v>87</v>
      </c>
      <c r="P15" s="12"/>
      <c r="Q15" s="2">
        <v>8.67</v>
      </c>
      <c r="R15" s="12"/>
      <c r="S15" s="2"/>
      <c r="T15" s="12"/>
      <c r="U15" s="2">
        <v>-37.14</v>
      </c>
    </row>
    <row r="16" spans="1:21" x14ac:dyDescent="0.25">
      <c r="A16" s="12"/>
      <c r="B16" s="12"/>
      <c r="C16" s="12"/>
      <c r="D16" s="12"/>
      <c r="E16" s="12"/>
      <c r="F16" s="12"/>
      <c r="G16" s="12" t="s">
        <v>56</v>
      </c>
      <c r="H16" s="12"/>
      <c r="I16" s="13">
        <v>46235</v>
      </c>
      <c r="J16" s="12"/>
      <c r="K16" s="12" t="s">
        <v>213</v>
      </c>
      <c r="L16" s="12"/>
      <c r="M16" s="12" t="s">
        <v>54</v>
      </c>
      <c r="N16" s="12"/>
      <c r="O16" s="12" t="s">
        <v>53</v>
      </c>
      <c r="P16" s="12"/>
      <c r="Q16" s="2">
        <v>34.01</v>
      </c>
      <c r="R16" s="12"/>
      <c r="S16" s="2"/>
      <c r="T16" s="12"/>
      <c r="U16" s="2">
        <v>-71.150000000000006</v>
      </c>
    </row>
    <row r="17" spans="1:21" x14ac:dyDescent="0.25">
      <c r="A17" s="12"/>
      <c r="B17" s="12"/>
      <c r="C17" s="12"/>
      <c r="D17" s="12"/>
      <c r="E17" s="12"/>
      <c r="F17" s="12"/>
      <c r="G17" s="12" t="s">
        <v>56</v>
      </c>
      <c r="H17" s="12"/>
      <c r="I17" s="13">
        <v>46235</v>
      </c>
      <c r="J17" s="12"/>
      <c r="K17" s="12" t="s">
        <v>212</v>
      </c>
      <c r="L17" s="12"/>
      <c r="M17" s="12" t="s">
        <v>211</v>
      </c>
      <c r="N17" s="12"/>
      <c r="O17" s="12" t="s">
        <v>210</v>
      </c>
      <c r="P17" s="12"/>
      <c r="Q17" s="2">
        <v>549.87</v>
      </c>
      <c r="R17" s="12"/>
      <c r="S17" s="2"/>
      <c r="T17" s="12"/>
      <c r="U17" s="2">
        <v>-621.02</v>
      </c>
    </row>
    <row r="18" spans="1:21" x14ac:dyDescent="0.25">
      <c r="A18" s="12"/>
      <c r="B18" s="12"/>
      <c r="C18" s="12"/>
      <c r="D18" s="12"/>
      <c r="E18" s="12"/>
      <c r="F18" s="12"/>
      <c r="G18" s="12" t="s">
        <v>207</v>
      </c>
      <c r="H18" s="12"/>
      <c r="I18" s="13">
        <v>46235</v>
      </c>
      <c r="J18" s="12"/>
      <c r="K18" s="12" t="s">
        <v>206</v>
      </c>
      <c r="L18" s="12"/>
      <c r="M18" s="12" t="s">
        <v>205</v>
      </c>
      <c r="N18" s="12"/>
      <c r="O18" s="12" t="s">
        <v>209</v>
      </c>
      <c r="P18" s="12"/>
      <c r="Q18" s="2">
        <v>12.56</v>
      </c>
      <c r="R18" s="12"/>
      <c r="S18" s="2"/>
      <c r="T18" s="12"/>
      <c r="U18" s="2">
        <v>-633.58000000000004</v>
      </c>
    </row>
    <row r="19" spans="1:21" x14ac:dyDescent="0.25">
      <c r="A19" s="12"/>
      <c r="B19" s="12"/>
      <c r="C19" s="12"/>
      <c r="D19" s="12"/>
      <c r="E19" s="12"/>
      <c r="F19" s="12"/>
      <c r="G19" s="12" t="s">
        <v>207</v>
      </c>
      <c r="H19" s="12"/>
      <c r="I19" s="13">
        <v>46235</v>
      </c>
      <c r="J19" s="12"/>
      <c r="K19" s="12" t="s">
        <v>206</v>
      </c>
      <c r="L19" s="12"/>
      <c r="M19" s="12" t="s">
        <v>205</v>
      </c>
      <c r="N19" s="12"/>
      <c r="O19" s="12" t="s">
        <v>208</v>
      </c>
      <c r="P19" s="12"/>
      <c r="Q19" s="2">
        <v>11.42</v>
      </c>
      <c r="R19" s="12"/>
      <c r="S19" s="2"/>
      <c r="T19" s="12"/>
      <c r="U19" s="2">
        <v>-645</v>
      </c>
    </row>
    <row r="20" spans="1:21" x14ac:dyDescent="0.25">
      <c r="A20" s="12"/>
      <c r="B20" s="12"/>
      <c r="C20" s="12"/>
      <c r="D20" s="12"/>
      <c r="E20" s="12"/>
      <c r="F20" s="12"/>
      <c r="G20" s="12" t="s">
        <v>207</v>
      </c>
      <c r="H20" s="12"/>
      <c r="I20" s="13">
        <v>46235</v>
      </c>
      <c r="J20" s="12"/>
      <c r="K20" s="12" t="s">
        <v>206</v>
      </c>
      <c r="L20" s="12"/>
      <c r="M20" s="12" t="s">
        <v>205</v>
      </c>
      <c r="N20" s="12"/>
      <c r="O20" s="12" t="s">
        <v>204</v>
      </c>
      <c r="P20" s="12"/>
      <c r="Q20" s="2">
        <v>28.32</v>
      </c>
      <c r="R20" s="12"/>
      <c r="S20" s="2"/>
      <c r="T20" s="12"/>
      <c r="U20" s="2">
        <v>-673.32</v>
      </c>
    </row>
    <row r="21" spans="1:21" x14ac:dyDescent="0.25">
      <c r="A21" s="12"/>
      <c r="B21" s="12"/>
      <c r="C21" s="12"/>
      <c r="D21" s="12"/>
      <c r="E21" s="12"/>
      <c r="F21" s="12"/>
      <c r="G21" s="12" t="s">
        <v>56</v>
      </c>
      <c r="H21" s="12"/>
      <c r="I21" s="13">
        <v>46236</v>
      </c>
      <c r="J21" s="12"/>
      <c r="K21" s="12" t="s">
        <v>203</v>
      </c>
      <c r="L21" s="12"/>
      <c r="M21" s="12" t="s">
        <v>54</v>
      </c>
      <c r="N21" s="12"/>
      <c r="O21" s="12" t="s">
        <v>53</v>
      </c>
      <c r="P21" s="12"/>
      <c r="Q21" s="2">
        <v>11.98</v>
      </c>
      <c r="R21" s="12"/>
      <c r="S21" s="2"/>
      <c r="T21" s="12"/>
      <c r="U21" s="2">
        <v>-685.3</v>
      </c>
    </row>
    <row r="22" spans="1:21" x14ac:dyDescent="0.25">
      <c r="A22" s="12"/>
      <c r="B22" s="12"/>
      <c r="C22" s="12"/>
      <c r="D22" s="12"/>
      <c r="E22" s="12"/>
      <c r="F22" s="12"/>
      <c r="G22" s="12" t="s">
        <v>56</v>
      </c>
      <c r="H22" s="12"/>
      <c r="I22" s="13">
        <v>46236</v>
      </c>
      <c r="J22" s="12"/>
      <c r="K22" s="12" t="s">
        <v>202</v>
      </c>
      <c r="L22" s="12"/>
      <c r="M22" s="12" t="s">
        <v>54</v>
      </c>
      <c r="N22" s="12"/>
      <c r="O22" s="12" t="s">
        <v>53</v>
      </c>
      <c r="P22" s="12"/>
      <c r="Q22" s="2">
        <v>0.59</v>
      </c>
      <c r="R22" s="12"/>
      <c r="S22" s="2"/>
      <c r="T22" s="12"/>
      <c r="U22" s="2">
        <v>-685.89</v>
      </c>
    </row>
    <row r="23" spans="1:21" x14ac:dyDescent="0.25">
      <c r="A23" s="12"/>
      <c r="B23" s="12"/>
      <c r="C23" s="12"/>
      <c r="D23" s="12"/>
      <c r="E23" s="12"/>
      <c r="F23" s="12"/>
      <c r="G23" s="12" t="s">
        <v>56</v>
      </c>
      <c r="H23" s="12"/>
      <c r="I23" s="13">
        <v>46237</v>
      </c>
      <c r="J23" s="12"/>
      <c r="K23" s="12" t="s">
        <v>201</v>
      </c>
      <c r="L23" s="12"/>
      <c r="M23" s="12" t="s">
        <v>200</v>
      </c>
      <c r="N23" s="12"/>
      <c r="O23" s="12" t="s">
        <v>199</v>
      </c>
      <c r="P23" s="12"/>
      <c r="Q23" s="2">
        <v>25.86</v>
      </c>
      <c r="R23" s="12"/>
      <c r="S23" s="2"/>
      <c r="T23" s="12"/>
      <c r="U23" s="2">
        <v>-711.75</v>
      </c>
    </row>
    <row r="24" spans="1:21" x14ac:dyDescent="0.25">
      <c r="A24" s="12"/>
      <c r="B24" s="12"/>
      <c r="C24" s="12"/>
      <c r="D24" s="12"/>
      <c r="E24" s="12"/>
      <c r="F24" s="12"/>
      <c r="G24" s="12" t="s">
        <v>56</v>
      </c>
      <c r="H24" s="12"/>
      <c r="I24" s="13">
        <v>46237</v>
      </c>
      <c r="J24" s="12"/>
      <c r="K24" s="12" t="s">
        <v>198</v>
      </c>
      <c r="L24" s="12"/>
      <c r="M24" s="12" t="s">
        <v>113</v>
      </c>
      <c r="N24" s="12"/>
      <c r="O24" s="12" t="s">
        <v>97</v>
      </c>
      <c r="P24" s="12"/>
      <c r="Q24" s="2">
        <v>57.37</v>
      </c>
      <c r="R24" s="12"/>
      <c r="S24" s="2"/>
      <c r="T24" s="12"/>
      <c r="U24" s="2">
        <v>-769.12</v>
      </c>
    </row>
    <row r="25" spans="1:21" x14ac:dyDescent="0.25">
      <c r="A25" s="12"/>
      <c r="B25" s="12"/>
      <c r="C25" s="12"/>
      <c r="D25" s="12"/>
      <c r="E25" s="12"/>
      <c r="F25" s="12"/>
      <c r="G25" s="12" t="s">
        <v>56</v>
      </c>
      <c r="H25" s="12"/>
      <c r="I25" s="13">
        <v>46237</v>
      </c>
      <c r="J25" s="12"/>
      <c r="K25" s="12" t="s">
        <v>197</v>
      </c>
      <c r="L25" s="12"/>
      <c r="M25" s="12" t="s">
        <v>98</v>
      </c>
      <c r="N25" s="12"/>
      <c r="O25" s="12" t="s">
        <v>97</v>
      </c>
      <c r="P25" s="12"/>
      <c r="Q25" s="2">
        <v>13.33</v>
      </c>
      <c r="R25" s="12"/>
      <c r="S25" s="2"/>
      <c r="T25" s="12"/>
      <c r="U25" s="2">
        <v>-782.45</v>
      </c>
    </row>
    <row r="26" spans="1:21" x14ac:dyDescent="0.25">
      <c r="A26" s="12"/>
      <c r="B26" s="12"/>
      <c r="C26" s="12"/>
      <c r="D26" s="12"/>
      <c r="E26" s="12"/>
      <c r="F26" s="12"/>
      <c r="G26" s="12" t="s">
        <v>56</v>
      </c>
      <c r="H26" s="12"/>
      <c r="I26" s="13">
        <v>46237</v>
      </c>
      <c r="J26" s="12"/>
      <c r="K26" s="12" t="s">
        <v>196</v>
      </c>
      <c r="L26" s="12"/>
      <c r="M26" s="12" t="s">
        <v>54</v>
      </c>
      <c r="N26" s="12"/>
      <c r="O26" s="12" t="s">
        <v>53</v>
      </c>
      <c r="P26" s="12"/>
      <c r="Q26" s="2">
        <v>116.52</v>
      </c>
      <c r="R26" s="12"/>
      <c r="S26" s="2"/>
      <c r="T26" s="12"/>
      <c r="U26" s="2">
        <v>-898.97</v>
      </c>
    </row>
    <row r="27" spans="1:21" x14ac:dyDescent="0.25">
      <c r="A27" s="12"/>
      <c r="B27" s="12"/>
      <c r="C27" s="12"/>
      <c r="D27" s="12"/>
      <c r="E27" s="12"/>
      <c r="F27" s="12"/>
      <c r="G27" s="12" t="s">
        <v>56</v>
      </c>
      <c r="H27" s="12"/>
      <c r="I27" s="13">
        <v>46237</v>
      </c>
      <c r="J27" s="12"/>
      <c r="K27" s="12" t="s">
        <v>195</v>
      </c>
      <c r="L27" s="12"/>
      <c r="M27" s="12" t="s">
        <v>72</v>
      </c>
      <c r="N27" s="12"/>
      <c r="O27" s="12" t="s">
        <v>71</v>
      </c>
      <c r="P27" s="12"/>
      <c r="Q27" s="2">
        <v>17.77</v>
      </c>
      <c r="R27" s="12"/>
      <c r="S27" s="2"/>
      <c r="T27" s="12"/>
      <c r="U27" s="2">
        <v>-916.74</v>
      </c>
    </row>
    <row r="28" spans="1:21" x14ac:dyDescent="0.25">
      <c r="A28" s="12"/>
      <c r="B28" s="12"/>
      <c r="C28" s="12"/>
      <c r="D28" s="12"/>
      <c r="E28" s="12"/>
      <c r="F28" s="12"/>
      <c r="G28" s="12" t="s">
        <v>56</v>
      </c>
      <c r="H28" s="12"/>
      <c r="I28" s="13">
        <v>46237</v>
      </c>
      <c r="J28" s="12"/>
      <c r="K28" s="12" t="s">
        <v>194</v>
      </c>
      <c r="L28" s="12"/>
      <c r="M28" s="12" t="s">
        <v>111</v>
      </c>
      <c r="N28" s="12"/>
      <c r="O28" s="12" t="s">
        <v>110</v>
      </c>
      <c r="P28" s="12"/>
      <c r="Q28" s="2">
        <v>3.35</v>
      </c>
      <c r="R28" s="12"/>
      <c r="S28" s="2"/>
      <c r="T28" s="12"/>
      <c r="U28" s="2">
        <v>-920.09</v>
      </c>
    </row>
    <row r="29" spans="1:21" x14ac:dyDescent="0.25">
      <c r="A29" s="12"/>
      <c r="B29" s="12"/>
      <c r="C29" s="12"/>
      <c r="D29" s="12"/>
      <c r="E29" s="12"/>
      <c r="F29" s="12"/>
      <c r="G29" s="12" t="s">
        <v>56</v>
      </c>
      <c r="H29" s="12"/>
      <c r="I29" s="13">
        <v>46237</v>
      </c>
      <c r="J29" s="12"/>
      <c r="K29" s="12" t="s">
        <v>193</v>
      </c>
      <c r="L29" s="12"/>
      <c r="M29" s="12" t="s">
        <v>66</v>
      </c>
      <c r="N29" s="12"/>
      <c r="O29" s="12" t="s">
        <v>192</v>
      </c>
      <c r="P29" s="12"/>
      <c r="Q29" s="2">
        <v>6.4</v>
      </c>
      <c r="R29" s="12"/>
      <c r="S29" s="2"/>
      <c r="T29" s="12"/>
      <c r="U29" s="2">
        <v>-926.49</v>
      </c>
    </row>
    <row r="30" spans="1:21" x14ac:dyDescent="0.25">
      <c r="A30" s="12"/>
      <c r="B30" s="12"/>
      <c r="C30" s="12"/>
      <c r="D30" s="12"/>
      <c r="E30" s="12"/>
      <c r="F30" s="12"/>
      <c r="G30" s="12" t="s">
        <v>56</v>
      </c>
      <c r="H30" s="12"/>
      <c r="I30" s="13">
        <v>46237</v>
      </c>
      <c r="J30" s="12"/>
      <c r="K30" s="12" t="s">
        <v>191</v>
      </c>
      <c r="L30" s="12"/>
      <c r="M30" s="12" t="s">
        <v>66</v>
      </c>
      <c r="N30" s="12"/>
      <c r="O30" s="12" t="s">
        <v>65</v>
      </c>
      <c r="P30" s="12"/>
      <c r="Q30" s="2">
        <v>0.5</v>
      </c>
      <c r="R30" s="12"/>
      <c r="S30" s="2"/>
      <c r="T30" s="12"/>
      <c r="U30" s="2">
        <v>-926.99</v>
      </c>
    </row>
    <row r="31" spans="1:21" x14ac:dyDescent="0.25">
      <c r="A31" s="12"/>
      <c r="B31" s="12"/>
      <c r="C31" s="12"/>
      <c r="D31" s="12"/>
      <c r="E31" s="12"/>
      <c r="F31" s="12"/>
      <c r="G31" s="12" t="s">
        <v>56</v>
      </c>
      <c r="H31" s="12"/>
      <c r="I31" s="13">
        <v>46237</v>
      </c>
      <c r="J31" s="12"/>
      <c r="K31" s="12" t="s">
        <v>190</v>
      </c>
      <c r="L31" s="12"/>
      <c r="M31" s="12" t="s">
        <v>117</v>
      </c>
      <c r="N31" s="12"/>
      <c r="O31" s="12" t="s">
        <v>116</v>
      </c>
      <c r="P31" s="12"/>
      <c r="Q31" s="2">
        <v>20</v>
      </c>
      <c r="R31" s="12"/>
      <c r="S31" s="2"/>
      <c r="T31" s="12"/>
      <c r="U31" s="2">
        <v>-946.99</v>
      </c>
    </row>
    <row r="32" spans="1:21" x14ac:dyDescent="0.25">
      <c r="A32" s="12"/>
      <c r="B32" s="12"/>
      <c r="C32" s="12"/>
      <c r="D32" s="12"/>
      <c r="E32" s="12"/>
      <c r="F32" s="12"/>
      <c r="G32" s="12" t="s">
        <v>56</v>
      </c>
      <c r="H32" s="12"/>
      <c r="I32" s="13">
        <v>46237</v>
      </c>
      <c r="J32" s="12"/>
      <c r="K32" s="12" t="s">
        <v>189</v>
      </c>
      <c r="L32" s="12"/>
      <c r="M32" s="12" t="s">
        <v>117</v>
      </c>
      <c r="N32" s="12"/>
      <c r="O32" s="12" t="s">
        <v>116</v>
      </c>
      <c r="P32" s="12"/>
      <c r="Q32" s="2">
        <v>173.72</v>
      </c>
      <c r="R32" s="12"/>
      <c r="S32" s="2"/>
      <c r="T32" s="12"/>
      <c r="U32" s="2">
        <v>-1120.71</v>
      </c>
    </row>
    <row r="33" spans="1:21" x14ac:dyDescent="0.25">
      <c r="A33" s="12"/>
      <c r="B33" s="12"/>
      <c r="C33" s="12"/>
      <c r="D33" s="12"/>
      <c r="E33" s="12"/>
      <c r="F33" s="12"/>
      <c r="G33" s="12" t="s">
        <v>56</v>
      </c>
      <c r="H33" s="12"/>
      <c r="I33" s="13">
        <v>46237</v>
      </c>
      <c r="J33" s="12"/>
      <c r="K33" s="12" t="s">
        <v>188</v>
      </c>
      <c r="L33" s="12"/>
      <c r="M33" s="12" t="s">
        <v>187</v>
      </c>
      <c r="N33" s="12"/>
      <c r="O33" s="12" t="s">
        <v>186</v>
      </c>
      <c r="P33" s="12"/>
      <c r="Q33" s="2">
        <v>36.25</v>
      </c>
      <c r="R33" s="12"/>
      <c r="S33" s="2"/>
      <c r="T33" s="12"/>
      <c r="U33" s="2">
        <v>-1156.96</v>
      </c>
    </row>
    <row r="34" spans="1:21" x14ac:dyDescent="0.25">
      <c r="A34" s="12"/>
      <c r="B34" s="12"/>
      <c r="C34" s="12"/>
      <c r="D34" s="12"/>
      <c r="E34" s="12"/>
      <c r="F34" s="12"/>
      <c r="G34" s="12" t="s">
        <v>56</v>
      </c>
      <c r="H34" s="12"/>
      <c r="I34" s="13">
        <v>46237</v>
      </c>
      <c r="J34" s="12"/>
      <c r="K34" s="12" t="s">
        <v>185</v>
      </c>
      <c r="L34" s="12"/>
      <c r="M34" s="12" t="s">
        <v>183</v>
      </c>
      <c r="N34" s="12"/>
      <c r="O34" s="12" t="s">
        <v>182</v>
      </c>
      <c r="P34" s="12"/>
      <c r="Q34" s="2">
        <v>13.33</v>
      </c>
      <c r="R34" s="12"/>
      <c r="S34" s="2"/>
      <c r="T34" s="12"/>
      <c r="U34" s="2">
        <v>-1170.29</v>
      </c>
    </row>
    <row r="35" spans="1:21" x14ac:dyDescent="0.25">
      <c r="A35" s="12"/>
      <c r="B35" s="12"/>
      <c r="C35" s="12"/>
      <c r="D35" s="12"/>
      <c r="E35" s="12"/>
      <c r="F35" s="12"/>
      <c r="G35" s="12" t="s">
        <v>56</v>
      </c>
      <c r="H35" s="12"/>
      <c r="I35" s="13">
        <v>46237</v>
      </c>
      <c r="J35" s="12"/>
      <c r="K35" s="12" t="s">
        <v>184</v>
      </c>
      <c r="L35" s="12"/>
      <c r="M35" s="12" t="s">
        <v>183</v>
      </c>
      <c r="N35" s="12"/>
      <c r="O35" s="12" t="s">
        <v>182</v>
      </c>
      <c r="P35" s="12"/>
      <c r="Q35" s="2">
        <v>5.44</v>
      </c>
      <c r="R35" s="12"/>
      <c r="S35" s="2"/>
      <c r="T35" s="12"/>
      <c r="U35" s="2">
        <v>-1175.73</v>
      </c>
    </row>
    <row r="36" spans="1:21" x14ac:dyDescent="0.25">
      <c r="A36" s="12"/>
      <c r="B36" s="12"/>
      <c r="C36" s="12"/>
      <c r="D36" s="12"/>
      <c r="E36" s="12"/>
      <c r="F36" s="12"/>
      <c r="G36" s="12" t="s">
        <v>56</v>
      </c>
      <c r="H36" s="12"/>
      <c r="I36" s="13">
        <v>46238</v>
      </c>
      <c r="J36" s="12"/>
      <c r="K36" s="12" t="s">
        <v>181</v>
      </c>
      <c r="L36" s="12"/>
      <c r="M36" s="12" t="s">
        <v>180</v>
      </c>
      <c r="N36" s="12"/>
      <c r="O36" s="12" t="s">
        <v>179</v>
      </c>
      <c r="P36" s="12"/>
      <c r="Q36" s="2">
        <v>1450</v>
      </c>
      <c r="R36" s="12"/>
      <c r="S36" s="2"/>
      <c r="T36" s="12"/>
      <c r="U36" s="2">
        <v>-2625.73</v>
      </c>
    </row>
    <row r="37" spans="1:21" x14ac:dyDescent="0.25">
      <c r="A37" s="12"/>
      <c r="B37" s="12"/>
      <c r="C37" s="12"/>
      <c r="D37" s="12"/>
      <c r="E37" s="12"/>
      <c r="F37" s="12"/>
      <c r="G37" s="12" t="s">
        <v>56</v>
      </c>
      <c r="H37" s="12"/>
      <c r="I37" s="13">
        <v>46238</v>
      </c>
      <c r="J37" s="12"/>
      <c r="K37" s="12" t="s">
        <v>178</v>
      </c>
      <c r="L37" s="12"/>
      <c r="M37" s="12" t="s">
        <v>177</v>
      </c>
      <c r="N37" s="12"/>
      <c r="O37" s="12" t="s">
        <v>176</v>
      </c>
      <c r="P37" s="12"/>
      <c r="Q37" s="2">
        <v>199</v>
      </c>
      <c r="R37" s="12"/>
      <c r="S37" s="2"/>
      <c r="T37" s="12"/>
      <c r="U37" s="2">
        <v>-2824.73</v>
      </c>
    </row>
    <row r="38" spans="1:21" x14ac:dyDescent="0.25">
      <c r="A38" s="12"/>
      <c r="B38" s="12"/>
      <c r="C38" s="12"/>
      <c r="D38" s="12"/>
      <c r="E38" s="12"/>
      <c r="F38" s="12"/>
      <c r="G38" s="12" t="s">
        <v>56</v>
      </c>
      <c r="H38" s="12"/>
      <c r="I38" s="13">
        <v>46238</v>
      </c>
      <c r="J38" s="12"/>
      <c r="K38" s="12" t="s">
        <v>175</v>
      </c>
      <c r="L38" s="12"/>
      <c r="M38" s="12" t="s">
        <v>174</v>
      </c>
      <c r="N38" s="12"/>
      <c r="O38" s="12" t="s">
        <v>173</v>
      </c>
      <c r="P38" s="12"/>
      <c r="Q38" s="2">
        <v>1436.51</v>
      </c>
      <c r="R38" s="12"/>
      <c r="S38" s="2"/>
      <c r="T38" s="12"/>
      <c r="U38" s="2">
        <v>-4261.24</v>
      </c>
    </row>
    <row r="39" spans="1:21" x14ac:dyDescent="0.25">
      <c r="A39" s="12"/>
      <c r="B39" s="12"/>
      <c r="C39" s="12"/>
      <c r="D39" s="12"/>
      <c r="E39" s="12"/>
      <c r="F39" s="12"/>
      <c r="G39" s="12" t="s">
        <v>56</v>
      </c>
      <c r="H39" s="12"/>
      <c r="I39" s="13">
        <v>46238</v>
      </c>
      <c r="J39" s="12"/>
      <c r="K39" s="12" t="s">
        <v>172</v>
      </c>
      <c r="L39" s="12"/>
      <c r="M39" s="12" t="s">
        <v>171</v>
      </c>
      <c r="N39" s="12"/>
      <c r="O39" s="12" t="s">
        <v>170</v>
      </c>
      <c r="P39" s="12"/>
      <c r="Q39" s="2">
        <v>5.76</v>
      </c>
      <c r="R39" s="12"/>
      <c r="S39" s="2"/>
      <c r="T39" s="12"/>
      <c r="U39" s="2">
        <v>-4267</v>
      </c>
    </row>
    <row r="40" spans="1:21" x14ac:dyDescent="0.25">
      <c r="A40" s="12"/>
      <c r="B40" s="12"/>
      <c r="C40" s="12"/>
      <c r="D40" s="12"/>
      <c r="E40" s="12"/>
      <c r="F40" s="12"/>
      <c r="G40" s="12" t="s">
        <v>56</v>
      </c>
      <c r="H40" s="12"/>
      <c r="I40" s="13">
        <v>46238</v>
      </c>
      <c r="J40" s="12"/>
      <c r="K40" s="12" t="s">
        <v>169</v>
      </c>
      <c r="L40" s="12"/>
      <c r="M40" s="12" t="s">
        <v>54</v>
      </c>
      <c r="N40" s="12"/>
      <c r="O40" s="12" t="s">
        <v>53</v>
      </c>
      <c r="P40" s="12"/>
      <c r="Q40" s="2">
        <v>484.31</v>
      </c>
      <c r="R40" s="12"/>
      <c r="S40" s="2"/>
      <c r="T40" s="12"/>
      <c r="U40" s="2">
        <v>-4751.3100000000004</v>
      </c>
    </row>
    <row r="41" spans="1:21" x14ac:dyDescent="0.25">
      <c r="A41" s="12"/>
      <c r="B41" s="12"/>
      <c r="C41" s="12"/>
      <c r="D41" s="12"/>
      <c r="E41" s="12"/>
      <c r="F41" s="12"/>
      <c r="G41" s="12" t="s">
        <v>56</v>
      </c>
      <c r="H41" s="12"/>
      <c r="I41" s="13">
        <v>46238</v>
      </c>
      <c r="J41" s="12"/>
      <c r="K41" s="12" t="s">
        <v>168</v>
      </c>
      <c r="L41" s="12"/>
      <c r="M41" s="12" t="s">
        <v>88</v>
      </c>
      <c r="N41" s="12"/>
      <c r="O41" s="12" t="s">
        <v>87</v>
      </c>
      <c r="P41" s="12"/>
      <c r="Q41" s="2">
        <v>22.07</v>
      </c>
      <c r="R41" s="12"/>
      <c r="S41" s="2"/>
      <c r="T41" s="12"/>
      <c r="U41" s="2">
        <v>-4773.38</v>
      </c>
    </row>
    <row r="42" spans="1:21" x14ac:dyDescent="0.25">
      <c r="A42" s="12"/>
      <c r="B42" s="12"/>
      <c r="C42" s="12"/>
      <c r="D42" s="12"/>
      <c r="E42" s="12"/>
      <c r="F42" s="12"/>
      <c r="G42" s="12" t="s">
        <v>56</v>
      </c>
      <c r="H42" s="12"/>
      <c r="I42" s="13">
        <v>46238</v>
      </c>
      <c r="J42" s="12"/>
      <c r="K42" s="12" t="s">
        <v>167</v>
      </c>
      <c r="L42" s="12"/>
      <c r="M42" s="12" t="s">
        <v>85</v>
      </c>
      <c r="N42" s="12"/>
      <c r="O42" s="12" t="s">
        <v>74</v>
      </c>
      <c r="P42" s="12"/>
      <c r="Q42" s="2">
        <v>45</v>
      </c>
      <c r="R42" s="12"/>
      <c r="S42" s="2"/>
      <c r="T42" s="12"/>
      <c r="U42" s="2">
        <v>-4818.38</v>
      </c>
    </row>
    <row r="43" spans="1:21" x14ac:dyDescent="0.25">
      <c r="A43" s="12"/>
      <c r="B43" s="12"/>
      <c r="C43" s="12"/>
      <c r="D43" s="12"/>
      <c r="E43" s="12"/>
      <c r="F43" s="12"/>
      <c r="G43" s="12" t="s">
        <v>56</v>
      </c>
      <c r="H43" s="12"/>
      <c r="I43" s="13">
        <v>46238</v>
      </c>
      <c r="J43" s="12"/>
      <c r="K43" s="12" t="s">
        <v>166</v>
      </c>
      <c r="L43" s="12"/>
      <c r="M43" s="12" t="s">
        <v>72</v>
      </c>
      <c r="N43" s="12"/>
      <c r="O43" s="12" t="s">
        <v>71</v>
      </c>
      <c r="P43" s="12"/>
      <c r="Q43" s="2">
        <v>33.75</v>
      </c>
      <c r="R43" s="12"/>
      <c r="S43" s="2"/>
      <c r="T43" s="12"/>
      <c r="U43" s="2">
        <v>-4852.13</v>
      </c>
    </row>
    <row r="44" spans="1:21" x14ac:dyDescent="0.25">
      <c r="A44" s="12"/>
      <c r="B44" s="12"/>
      <c r="C44" s="12"/>
      <c r="D44" s="12"/>
      <c r="E44" s="12"/>
      <c r="F44" s="12"/>
      <c r="G44" s="12" t="s">
        <v>56</v>
      </c>
      <c r="H44" s="12"/>
      <c r="I44" s="13">
        <v>46238</v>
      </c>
      <c r="J44" s="12"/>
      <c r="K44" s="12" t="s">
        <v>165</v>
      </c>
      <c r="L44" s="12"/>
      <c r="M44" s="12" t="s">
        <v>83</v>
      </c>
      <c r="N44" s="12"/>
      <c r="O44" s="12" t="s">
        <v>82</v>
      </c>
      <c r="P44" s="12"/>
      <c r="Q44" s="2">
        <v>73.55</v>
      </c>
      <c r="R44" s="12"/>
      <c r="S44" s="2"/>
      <c r="T44" s="12"/>
      <c r="U44" s="2">
        <v>-4925.68</v>
      </c>
    </row>
    <row r="45" spans="1:21" x14ac:dyDescent="0.25">
      <c r="A45" s="12"/>
      <c r="B45" s="12"/>
      <c r="C45" s="12"/>
      <c r="D45" s="12"/>
      <c r="E45" s="12"/>
      <c r="F45" s="12"/>
      <c r="G45" s="12" t="s">
        <v>56</v>
      </c>
      <c r="H45" s="12"/>
      <c r="I45" s="13">
        <v>46238</v>
      </c>
      <c r="J45" s="12"/>
      <c r="K45" s="12" t="s">
        <v>164</v>
      </c>
      <c r="L45" s="12"/>
      <c r="M45" s="12" t="s">
        <v>79</v>
      </c>
      <c r="N45" s="12"/>
      <c r="O45" s="12" t="s">
        <v>78</v>
      </c>
      <c r="P45" s="12"/>
      <c r="Q45" s="2">
        <v>20</v>
      </c>
      <c r="R45" s="12"/>
      <c r="S45" s="2"/>
      <c r="T45" s="12"/>
      <c r="U45" s="2">
        <v>-4945.68</v>
      </c>
    </row>
    <row r="46" spans="1:21" x14ac:dyDescent="0.25">
      <c r="A46" s="12"/>
      <c r="B46" s="12"/>
      <c r="C46" s="12"/>
      <c r="D46" s="12"/>
      <c r="E46" s="12"/>
      <c r="F46" s="12"/>
      <c r="G46" s="12" t="s">
        <v>56</v>
      </c>
      <c r="H46" s="12"/>
      <c r="I46" s="13">
        <v>46238</v>
      </c>
      <c r="J46" s="12"/>
      <c r="K46" s="12" t="s">
        <v>163</v>
      </c>
      <c r="L46" s="12"/>
      <c r="M46" s="12" t="s">
        <v>54</v>
      </c>
      <c r="N46" s="12"/>
      <c r="O46" s="12" t="s">
        <v>53</v>
      </c>
      <c r="P46" s="12"/>
      <c r="Q46" s="2">
        <v>439.11</v>
      </c>
      <c r="R46" s="12"/>
      <c r="S46" s="2"/>
      <c r="T46" s="12"/>
      <c r="U46" s="2">
        <v>-5384.79</v>
      </c>
    </row>
    <row r="47" spans="1:21" x14ac:dyDescent="0.25">
      <c r="A47" s="12"/>
      <c r="B47" s="12"/>
      <c r="C47" s="12"/>
      <c r="D47" s="12"/>
      <c r="E47" s="12"/>
      <c r="F47" s="12"/>
      <c r="G47" s="12" t="s">
        <v>56</v>
      </c>
      <c r="H47" s="12"/>
      <c r="I47" s="13">
        <v>46238</v>
      </c>
      <c r="J47" s="12"/>
      <c r="K47" s="12" t="s">
        <v>162</v>
      </c>
      <c r="L47" s="12"/>
      <c r="M47" s="12" t="s">
        <v>88</v>
      </c>
      <c r="N47" s="12"/>
      <c r="O47" s="12" t="s">
        <v>87</v>
      </c>
      <c r="P47" s="12"/>
      <c r="Q47" s="2">
        <v>266.77</v>
      </c>
      <c r="R47" s="12"/>
      <c r="S47" s="2"/>
      <c r="T47" s="12"/>
      <c r="U47" s="2">
        <v>-5651.56</v>
      </c>
    </row>
    <row r="48" spans="1:21" x14ac:dyDescent="0.25">
      <c r="A48" s="12"/>
      <c r="B48" s="12"/>
      <c r="C48" s="12"/>
      <c r="D48" s="12"/>
      <c r="E48" s="12"/>
      <c r="F48" s="12"/>
      <c r="G48" s="12" t="s">
        <v>56</v>
      </c>
      <c r="H48" s="12"/>
      <c r="I48" s="13">
        <v>46238</v>
      </c>
      <c r="J48" s="12"/>
      <c r="K48" s="12" t="s">
        <v>161</v>
      </c>
      <c r="L48" s="12"/>
      <c r="M48" s="12" t="s">
        <v>88</v>
      </c>
      <c r="N48" s="12"/>
      <c r="O48" s="12" t="s">
        <v>87</v>
      </c>
      <c r="P48" s="12"/>
      <c r="Q48" s="2">
        <v>18.53</v>
      </c>
      <c r="R48" s="12"/>
      <c r="S48" s="2"/>
      <c r="T48" s="12"/>
      <c r="U48" s="2">
        <v>-5670.09</v>
      </c>
    </row>
    <row r="49" spans="1:21" x14ac:dyDescent="0.25">
      <c r="A49" s="12"/>
      <c r="B49" s="12"/>
      <c r="C49" s="12"/>
      <c r="D49" s="12"/>
      <c r="E49" s="12"/>
      <c r="F49" s="12"/>
      <c r="G49" s="12" t="s">
        <v>56</v>
      </c>
      <c r="H49" s="12"/>
      <c r="I49" s="13">
        <v>46238</v>
      </c>
      <c r="J49" s="12"/>
      <c r="K49" s="12" t="s">
        <v>160</v>
      </c>
      <c r="L49" s="12"/>
      <c r="M49" s="12" t="s">
        <v>75</v>
      </c>
      <c r="N49" s="12"/>
      <c r="O49" s="12" t="s">
        <v>74</v>
      </c>
      <c r="P49" s="12"/>
      <c r="Q49" s="2">
        <v>15</v>
      </c>
      <c r="R49" s="12"/>
      <c r="S49" s="2"/>
      <c r="T49" s="12"/>
      <c r="U49" s="2">
        <v>-5685.09</v>
      </c>
    </row>
    <row r="50" spans="1:21" x14ac:dyDescent="0.25">
      <c r="A50" s="12"/>
      <c r="B50" s="12"/>
      <c r="C50" s="12"/>
      <c r="D50" s="12"/>
      <c r="E50" s="12"/>
      <c r="F50" s="12"/>
      <c r="G50" s="12" t="s">
        <v>56</v>
      </c>
      <c r="H50" s="12"/>
      <c r="I50" s="13">
        <v>46238</v>
      </c>
      <c r="J50" s="12"/>
      <c r="K50" s="12" t="s">
        <v>159</v>
      </c>
      <c r="L50" s="12"/>
      <c r="M50" s="12" t="s">
        <v>157</v>
      </c>
      <c r="N50" s="12"/>
      <c r="O50" s="12" t="s">
        <v>156</v>
      </c>
      <c r="P50" s="12"/>
      <c r="Q50" s="2">
        <v>4.05</v>
      </c>
      <c r="R50" s="12"/>
      <c r="S50" s="2"/>
      <c r="T50" s="12"/>
      <c r="U50" s="2">
        <v>-5689.14</v>
      </c>
    </row>
    <row r="51" spans="1:21" x14ac:dyDescent="0.25">
      <c r="A51" s="12"/>
      <c r="B51" s="12"/>
      <c r="C51" s="12"/>
      <c r="D51" s="12"/>
      <c r="E51" s="12"/>
      <c r="F51" s="12"/>
      <c r="G51" s="12" t="s">
        <v>56</v>
      </c>
      <c r="H51" s="12"/>
      <c r="I51" s="13">
        <v>46238</v>
      </c>
      <c r="J51" s="12"/>
      <c r="K51" s="12" t="s">
        <v>158</v>
      </c>
      <c r="L51" s="12"/>
      <c r="M51" s="12" t="s">
        <v>157</v>
      </c>
      <c r="N51" s="12"/>
      <c r="O51" s="12" t="s">
        <v>156</v>
      </c>
      <c r="P51" s="12"/>
      <c r="Q51" s="2">
        <v>1.1299999999999999</v>
      </c>
      <c r="R51" s="12"/>
      <c r="S51" s="2"/>
      <c r="T51" s="12"/>
      <c r="U51" s="2">
        <v>-5690.27</v>
      </c>
    </row>
    <row r="52" spans="1:21" x14ac:dyDescent="0.25">
      <c r="A52" s="12"/>
      <c r="B52" s="12"/>
      <c r="C52" s="12"/>
      <c r="D52" s="12"/>
      <c r="E52" s="12"/>
      <c r="F52" s="12"/>
      <c r="G52" s="12" t="s">
        <v>56</v>
      </c>
      <c r="H52" s="12"/>
      <c r="I52" s="13">
        <v>46238</v>
      </c>
      <c r="J52" s="12"/>
      <c r="K52" s="12" t="s">
        <v>155</v>
      </c>
      <c r="L52" s="12"/>
      <c r="M52" s="12" t="s">
        <v>128</v>
      </c>
      <c r="N52" s="12"/>
      <c r="O52" s="12" t="s">
        <v>127</v>
      </c>
      <c r="P52" s="12"/>
      <c r="Q52" s="2">
        <v>51.91</v>
      </c>
      <c r="R52" s="12"/>
      <c r="S52" s="2"/>
      <c r="T52" s="12"/>
      <c r="U52" s="2">
        <v>-5742.18</v>
      </c>
    </row>
    <row r="53" spans="1:21" x14ac:dyDescent="0.25">
      <c r="A53" s="12"/>
      <c r="B53" s="12"/>
      <c r="C53" s="12"/>
      <c r="D53" s="12"/>
      <c r="E53" s="12"/>
      <c r="F53" s="12"/>
      <c r="G53" s="12" t="s">
        <v>56</v>
      </c>
      <c r="H53" s="12"/>
      <c r="I53" s="13">
        <v>46238</v>
      </c>
      <c r="J53" s="12"/>
      <c r="K53" s="12" t="s">
        <v>154</v>
      </c>
      <c r="L53" s="12"/>
      <c r="M53" s="12" t="s">
        <v>66</v>
      </c>
      <c r="N53" s="12"/>
      <c r="O53" s="12" t="s">
        <v>65</v>
      </c>
      <c r="P53" s="12"/>
      <c r="Q53" s="2">
        <v>30.3</v>
      </c>
      <c r="R53" s="12"/>
      <c r="S53" s="2"/>
      <c r="T53" s="12"/>
      <c r="U53" s="2">
        <v>-5772.48</v>
      </c>
    </row>
    <row r="54" spans="1:21" x14ac:dyDescent="0.25">
      <c r="A54" s="12"/>
      <c r="B54" s="12"/>
      <c r="C54" s="12"/>
      <c r="D54" s="12"/>
      <c r="E54" s="12"/>
      <c r="F54" s="12"/>
      <c r="G54" s="12" t="s">
        <v>56</v>
      </c>
      <c r="H54" s="12"/>
      <c r="I54" s="13">
        <v>46238</v>
      </c>
      <c r="J54" s="12"/>
      <c r="K54" s="12" t="s">
        <v>153</v>
      </c>
      <c r="L54" s="12"/>
      <c r="M54" s="12" t="s">
        <v>152</v>
      </c>
      <c r="N54" s="12"/>
      <c r="O54" s="12" t="s">
        <v>151</v>
      </c>
      <c r="P54" s="12"/>
      <c r="Q54" s="2">
        <v>9.39</v>
      </c>
      <c r="R54" s="12"/>
      <c r="S54" s="2"/>
      <c r="T54" s="12"/>
      <c r="U54" s="2">
        <v>-5781.87</v>
      </c>
    </row>
    <row r="55" spans="1:21" x14ac:dyDescent="0.25">
      <c r="A55" s="12"/>
      <c r="B55" s="12"/>
      <c r="C55" s="12"/>
      <c r="D55" s="12"/>
      <c r="E55" s="12"/>
      <c r="F55" s="12"/>
      <c r="G55" s="12" t="s">
        <v>56</v>
      </c>
      <c r="H55" s="12"/>
      <c r="I55" s="13">
        <v>46238</v>
      </c>
      <c r="J55" s="12"/>
      <c r="K55" s="12" t="s">
        <v>150</v>
      </c>
      <c r="L55" s="12"/>
      <c r="M55" s="12" t="s">
        <v>149</v>
      </c>
      <c r="N55" s="12"/>
      <c r="O55" s="12" t="s">
        <v>148</v>
      </c>
      <c r="P55" s="12"/>
      <c r="Q55" s="2">
        <v>22.25</v>
      </c>
      <c r="R55" s="12"/>
      <c r="S55" s="2"/>
      <c r="T55" s="12"/>
      <c r="U55" s="2">
        <v>-5804.12</v>
      </c>
    </row>
    <row r="56" spans="1:21" x14ac:dyDescent="0.25">
      <c r="A56" s="12"/>
      <c r="B56" s="12"/>
      <c r="C56" s="12"/>
      <c r="D56" s="12"/>
      <c r="E56" s="12"/>
      <c r="F56" s="12"/>
      <c r="G56" s="12" t="s">
        <v>56</v>
      </c>
      <c r="H56" s="12"/>
      <c r="I56" s="13">
        <v>46239</v>
      </c>
      <c r="J56" s="12"/>
      <c r="K56" s="12" t="s">
        <v>147</v>
      </c>
      <c r="L56" s="12"/>
      <c r="M56" s="12" t="s">
        <v>98</v>
      </c>
      <c r="N56" s="12"/>
      <c r="O56" s="12" t="s">
        <v>97</v>
      </c>
      <c r="P56" s="12"/>
      <c r="Q56" s="2">
        <v>61.49</v>
      </c>
      <c r="R56" s="12"/>
      <c r="S56" s="2"/>
      <c r="T56" s="12"/>
      <c r="U56" s="2">
        <v>-5865.61</v>
      </c>
    </row>
    <row r="57" spans="1:21" x14ac:dyDescent="0.25">
      <c r="A57" s="12"/>
      <c r="B57" s="12"/>
      <c r="C57" s="12"/>
      <c r="D57" s="12"/>
      <c r="E57" s="12"/>
      <c r="F57" s="12"/>
      <c r="G57" s="12" t="s">
        <v>56</v>
      </c>
      <c r="H57" s="12"/>
      <c r="I57" s="13">
        <v>46239</v>
      </c>
      <c r="J57" s="12"/>
      <c r="K57" s="12" t="s">
        <v>146</v>
      </c>
      <c r="L57" s="12"/>
      <c r="M57" s="12" t="s">
        <v>54</v>
      </c>
      <c r="N57" s="12"/>
      <c r="O57" s="12" t="s">
        <v>53</v>
      </c>
      <c r="P57" s="12"/>
      <c r="Q57" s="2">
        <v>19.5</v>
      </c>
      <c r="R57" s="12"/>
      <c r="S57" s="2"/>
      <c r="T57" s="12"/>
      <c r="U57" s="2">
        <v>-5885.11</v>
      </c>
    </row>
    <row r="58" spans="1:21" x14ac:dyDescent="0.25">
      <c r="A58" s="12"/>
      <c r="B58" s="12"/>
      <c r="C58" s="12"/>
      <c r="D58" s="12"/>
      <c r="E58" s="12"/>
      <c r="F58" s="12"/>
      <c r="G58" s="12" t="s">
        <v>56</v>
      </c>
      <c r="H58" s="12"/>
      <c r="I58" s="13">
        <v>46239</v>
      </c>
      <c r="J58" s="12"/>
      <c r="K58" s="12" t="s">
        <v>145</v>
      </c>
      <c r="L58" s="12"/>
      <c r="M58" s="12" t="s">
        <v>144</v>
      </c>
      <c r="N58" s="12"/>
      <c r="O58" s="12" t="s">
        <v>143</v>
      </c>
      <c r="P58" s="12"/>
      <c r="Q58" s="2">
        <v>167.25</v>
      </c>
      <c r="R58" s="12"/>
      <c r="S58" s="2"/>
      <c r="T58" s="12"/>
      <c r="U58" s="2">
        <v>-6052.36</v>
      </c>
    </row>
    <row r="59" spans="1:21" x14ac:dyDescent="0.25">
      <c r="A59" s="12"/>
      <c r="B59" s="12"/>
      <c r="C59" s="12"/>
      <c r="D59" s="12"/>
      <c r="E59" s="12"/>
      <c r="F59" s="12"/>
      <c r="G59" s="12" t="s">
        <v>56</v>
      </c>
      <c r="H59" s="12"/>
      <c r="I59" s="13">
        <v>46239</v>
      </c>
      <c r="J59" s="12"/>
      <c r="K59" s="12" t="s">
        <v>142</v>
      </c>
      <c r="L59" s="12"/>
      <c r="M59" s="12" t="s">
        <v>95</v>
      </c>
      <c r="N59" s="12"/>
      <c r="O59" s="12" t="s">
        <v>94</v>
      </c>
      <c r="P59" s="12"/>
      <c r="Q59" s="2">
        <v>7.33</v>
      </c>
      <c r="R59" s="12"/>
      <c r="S59" s="2"/>
      <c r="T59" s="12"/>
      <c r="U59" s="2">
        <v>-6059.69</v>
      </c>
    </row>
    <row r="60" spans="1:21" x14ac:dyDescent="0.25">
      <c r="A60" s="12"/>
      <c r="B60" s="12"/>
      <c r="C60" s="12"/>
      <c r="D60" s="12"/>
      <c r="E60" s="12"/>
      <c r="F60" s="12"/>
      <c r="G60" s="12" t="s">
        <v>56</v>
      </c>
      <c r="H60" s="12"/>
      <c r="I60" s="13">
        <v>46239</v>
      </c>
      <c r="J60" s="12"/>
      <c r="K60" s="12" t="s">
        <v>141</v>
      </c>
      <c r="L60" s="12"/>
      <c r="M60" s="12" t="s">
        <v>54</v>
      </c>
      <c r="N60" s="12"/>
      <c r="O60" s="12" t="s">
        <v>53</v>
      </c>
      <c r="P60" s="12"/>
      <c r="Q60" s="2">
        <v>3.61</v>
      </c>
      <c r="R60" s="12"/>
      <c r="S60" s="2"/>
      <c r="T60" s="12"/>
      <c r="U60" s="2">
        <v>-6063.3</v>
      </c>
    </row>
    <row r="61" spans="1:21" x14ac:dyDescent="0.25">
      <c r="A61" s="12"/>
      <c r="B61" s="12"/>
      <c r="C61" s="12"/>
      <c r="D61" s="12"/>
      <c r="E61" s="12"/>
      <c r="F61" s="12"/>
      <c r="G61" s="12" t="s">
        <v>56</v>
      </c>
      <c r="H61" s="12"/>
      <c r="I61" s="13">
        <v>46239</v>
      </c>
      <c r="J61" s="12"/>
      <c r="K61" s="12" t="s">
        <v>140</v>
      </c>
      <c r="L61" s="12"/>
      <c r="M61" s="12" t="s">
        <v>139</v>
      </c>
      <c r="N61" s="12"/>
      <c r="O61" s="12" t="s">
        <v>138</v>
      </c>
      <c r="P61" s="12"/>
      <c r="Q61" s="2">
        <v>331.39</v>
      </c>
      <c r="R61" s="12"/>
      <c r="S61" s="2"/>
      <c r="T61" s="12"/>
      <c r="U61" s="2">
        <v>-6394.69</v>
      </c>
    </row>
    <row r="62" spans="1:21" x14ac:dyDescent="0.25">
      <c r="A62" s="12"/>
      <c r="B62" s="12"/>
      <c r="C62" s="12"/>
      <c r="D62" s="12"/>
      <c r="E62" s="12"/>
      <c r="F62" s="12"/>
      <c r="G62" s="12" t="s">
        <v>56</v>
      </c>
      <c r="H62" s="12"/>
      <c r="I62" s="13">
        <v>46239</v>
      </c>
      <c r="J62" s="12"/>
      <c r="K62" s="12" t="s">
        <v>137</v>
      </c>
      <c r="L62" s="12"/>
      <c r="M62" s="12" t="s">
        <v>136</v>
      </c>
      <c r="N62" s="12"/>
      <c r="O62" s="12" t="s">
        <v>135</v>
      </c>
      <c r="P62" s="12"/>
      <c r="Q62" s="2">
        <v>20</v>
      </c>
      <c r="R62" s="12"/>
      <c r="S62" s="2"/>
      <c r="T62" s="12"/>
      <c r="U62" s="2">
        <v>-6414.69</v>
      </c>
    </row>
    <row r="63" spans="1:21" x14ac:dyDescent="0.25">
      <c r="A63" s="12"/>
      <c r="B63" s="12"/>
      <c r="C63" s="12"/>
      <c r="D63" s="12"/>
      <c r="E63" s="12"/>
      <c r="F63" s="12"/>
      <c r="G63" s="12" t="s">
        <v>56</v>
      </c>
      <c r="H63" s="12"/>
      <c r="I63" s="13">
        <v>46239</v>
      </c>
      <c r="J63" s="12"/>
      <c r="K63" s="12" t="s">
        <v>134</v>
      </c>
      <c r="L63" s="12"/>
      <c r="M63" s="12" t="s">
        <v>132</v>
      </c>
      <c r="N63" s="12"/>
      <c r="O63" s="12" t="s">
        <v>131</v>
      </c>
      <c r="P63" s="12"/>
      <c r="Q63" s="2">
        <v>34.85</v>
      </c>
      <c r="R63" s="12"/>
      <c r="S63" s="2"/>
      <c r="T63" s="12"/>
      <c r="U63" s="2">
        <v>-6449.54</v>
      </c>
    </row>
    <row r="64" spans="1:21" x14ac:dyDescent="0.25">
      <c r="A64" s="12"/>
      <c r="B64" s="12"/>
      <c r="C64" s="12"/>
      <c r="D64" s="12"/>
      <c r="E64" s="12"/>
      <c r="F64" s="12"/>
      <c r="G64" s="12" t="s">
        <v>56</v>
      </c>
      <c r="H64" s="12"/>
      <c r="I64" s="13">
        <v>46239</v>
      </c>
      <c r="J64" s="12"/>
      <c r="K64" s="12" t="s">
        <v>133</v>
      </c>
      <c r="L64" s="12"/>
      <c r="M64" s="12" t="s">
        <v>132</v>
      </c>
      <c r="N64" s="12"/>
      <c r="O64" s="12" t="s">
        <v>131</v>
      </c>
      <c r="P64" s="12"/>
      <c r="Q64" s="2">
        <v>681.71</v>
      </c>
      <c r="R64" s="12"/>
      <c r="S64" s="2"/>
      <c r="T64" s="12"/>
      <c r="U64" s="2">
        <v>-7131.25</v>
      </c>
    </row>
    <row r="65" spans="1:21" x14ac:dyDescent="0.25">
      <c r="A65" s="12"/>
      <c r="B65" s="12"/>
      <c r="C65" s="12"/>
      <c r="D65" s="12"/>
      <c r="E65" s="12"/>
      <c r="F65" s="12"/>
      <c r="G65" s="12" t="s">
        <v>56</v>
      </c>
      <c r="H65" s="12"/>
      <c r="I65" s="13">
        <v>46240</v>
      </c>
      <c r="J65" s="12"/>
      <c r="K65" s="12" t="s">
        <v>130</v>
      </c>
      <c r="L65" s="12"/>
      <c r="M65" s="12" t="s">
        <v>66</v>
      </c>
      <c r="N65" s="12"/>
      <c r="O65" s="12" t="s">
        <v>65</v>
      </c>
      <c r="P65" s="12"/>
      <c r="Q65" s="2">
        <v>12.75</v>
      </c>
      <c r="R65" s="12"/>
      <c r="S65" s="2"/>
      <c r="T65" s="12"/>
      <c r="U65" s="2">
        <v>-7144</v>
      </c>
    </row>
    <row r="66" spans="1:21" x14ac:dyDescent="0.25">
      <c r="A66" s="12"/>
      <c r="B66" s="12"/>
      <c r="C66" s="12"/>
      <c r="D66" s="12"/>
      <c r="E66" s="12"/>
      <c r="F66" s="12"/>
      <c r="G66" s="12" t="s">
        <v>56</v>
      </c>
      <c r="H66" s="12"/>
      <c r="I66" s="13">
        <v>46240</v>
      </c>
      <c r="J66" s="12"/>
      <c r="K66" s="12" t="s">
        <v>129</v>
      </c>
      <c r="L66" s="12"/>
      <c r="M66" s="12" t="s">
        <v>128</v>
      </c>
      <c r="N66" s="12"/>
      <c r="O66" s="12" t="s">
        <v>127</v>
      </c>
      <c r="P66" s="12"/>
      <c r="Q66" s="2">
        <v>14.44</v>
      </c>
      <c r="R66" s="12"/>
      <c r="S66" s="2"/>
      <c r="T66" s="12"/>
      <c r="U66" s="2">
        <v>-7158.44</v>
      </c>
    </row>
    <row r="67" spans="1:21" x14ac:dyDescent="0.25">
      <c r="A67" s="12"/>
      <c r="B67" s="12"/>
      <c r="C67" s="12"/>
      <c r="D67" s="12"/>
      <c r="E67" s="12"/>
      <c r="F67" s="12"/>
      <c r="G67" s="12" t="s">
        <v>56</v>
      </c>
      <c r="H67" s="12"/>
      <c r="I67" s="13">
        <v>46240</v>
      </c>
      <c r="J67" s="12"/>
      <c r="K67" s="12" t="s">
        <v>126</v>
      </c>
      <c r="L67" s="12"/>
      <c r="M67" s="12" t="s">
        <v>120</v>
      </c>
      <c r="N67" s="12"/>
      <c r="O67" s="12" t="s">
        <v>119</v>
      </c>
      <c r="P67" s="12"/>
      <c r="Q67" s="2">
        <v>38.97</v>
      </c>
      <c r="R67" s="12"/>
      <c r="S67" s="2"/>
      <c r="T67" s="12"/>
      <c r="U67" s="2">
        <v>-7197.41</v>
      </c>
    </row>
    <row r="68" spans="1:21" x14ac:dyDescent="0.25">
      <c r="A68" s="12"/>
      <c r="B68" s="12"/>
      <c r="C68" s="12"/>
      <c r="D68" s="12"/>
      <c r="E68" s="12"/>
      <c r="F68" s="12"/>
      <c r="G68" s="12" t="s">
        <v>56</v>
      </c>
      <c r="H68" s="12"/>
      <c r="I68" s="13">
        <v>46240</v>
      </c>
      <c r="J68" s="12"/>
      <c r="K68" s="12" t="s">
        <v>125</v>
      </c>
      <c r="L68" s="12"/>
      <c r="M68" s="12" t="s">
        <v>120</v>
      </c>
      <c r="N68" s="12"/>
      <c r="O68" s="12" t="s">
        <v>119</v>
      </c>
      <c r="P68" s="12"/>
      <c r="Q68" s="2">
        <v>6.95</v>
      </c>
      <c r="R68" s="12"/>
      <c r="S68" s="2"/>
      <c r="T68" s="12"/>
      <c r="U68" s="2">
        <v>-7204.36</v>
      </c>
    </row>
    <row r="69" spans="1:21" x14ac:dyDescent="0.25">
      <c r="A69" s="12"/>
      <c r="B69" s="12"/>
      <c r="C69" s="12"/>
      <c r="D69" s="12"/>
      <c r="E69" s="12"/>
      <c r="F69" s="12"/>
      <c r="G69" s="12" t="s">
        <v>56</v>
      </c>
      <c r="H69" s="12"/>
      <c r="I69" s="13">
        <v>46240</v>
      </c>
      <c r="J69" s="12"/>
      <c r="K69" s="12" t="s">
        <v>124</v>
      </c>
      <c r="L69" s="12"/>
      <c r="M69" s="12" t="s">
        <v>123</v>
      </c>
      <c r="N69" s="12"/>
      <c r="O69" s="12" t="s">
        <v>122</v>
      </c>
      <c r="P69" s="12"/>
      <c r="Q69" s="2">
        <v>24.33</v>
      </c>
      <c r="R69" s="12"/>
      <c r="S69" s="2"/>
      <c r="T69" s="12"/>
      <c r="U69" s="2">
        <v>-7228.69</v>
      </c>
    </row>
    <row r="70" spans="1:21" x14ac:dyDescent="0.25">
      <c r="A70" s="12"/>
      <c r="B70" s="12"/>
      <c r="C70" s="12"/>
      <c r="D70" s="12"/>
      <c r="E70" s="12"/>
      <c r="F70" s="12"/>
      <c r="G70" s="12" t="s">
        <v>56</v>
      </c>
      <c r="H70" s="12"/>
      <c r="I70" s="13">
        <v>46240</v>
      </c>
      <c r="J70" s="12"/>
      <c r="K70" s="12" t="s">
        <v>121</v>
      </c>
      <c r="L70" s="12"/>
      <c r="M70" s="12" t="s">
        <v>120</v>
      </c>
      <c r="N70" s="12"/>
      <c r="O70" s="12" t="s">
        <v>119</v>
      </c>
      <c r="P70" s="12"/>
      <c r="Q70" s="2">
        <v>142.91</v>
      </c>
      <c r="R70" s="12"/>
      <c r="S70" s="2"/>
      <c r="T70" s="12"/>
      <c r="U70" s="2">
        <v>-7371.6</v>
      </c>
    </row>
    <row r="71" spans="1:21" x14ac:dyDescent="0.25">
      <c r="A71" s="12"/>
      <c r="B71" s="12"/>
      <c r="C71" s="12"/>
      <c r="D71" s="12"/>
      <c r="E71" s="12"/>
      <c r="F71" s="12"/>
      <c r="G71" s="12" t="s">
        <v>56</v>
      </c>
      <c r="H71" s="12"/>
      <c r="I71" s="13">
        <v>46240</v>
      </c>
      <c r="J71" s="12"/>
      <c r="K71" s="12" t="s">
        <v>118</v>
      </c>
      <c r="L71" s="12"/>
      <c r="M71" s="12" t="s">
        <v>117</v>
      </c>
      <c r="N71" s="12"/>
      <c r="O71" s="12" t="s">
        <v>116</v>
      </c>
      <c r="P71" s="12"/>
      <c r="Q71" s="2">
        <v>52.78</v>
      </c>
      <c r="R71" s="12"/>
      <c r="S71" s="2"/>
      <c r="T71" s="12"/>
      <c r="U71" s="2">
        <v>-7424.38</v>
      </c>
    </row>
    <row r="72" spans="1:21" x14ac:dyDescent="0.25">
      <c r="A72" s="12"/>
      <c r="B72" s="12"/>
      <c r="C72" s="12"/>
      <c r="D72" s="12"/>
      <c r="E72" s="12"/>
      <c r="F72" s="12"/>
      <c r="G72" s="12" t="s">
        <v>56</v>
      </c>
      <c r="H72" s="12"/>
      <c r="I72" s="13">
        <v>46240</v>
      </c>
      <c r="J72" s="12"/>
      <c r="K72" s="12" t="s">
        <v>115</v>
      </c>
      <c r="L72" s="12"/>
      <c r="M72" s="12" t="s">
        <v>95</v>
      </c>
      <c r="N72" s="12"/>
      <c r="O72" s="12" t="s">
        <v>94</v>
      </c>
      <c r="P72" s="12"/>
      <c r="Q72" s="2">
        <v>5.7</v>
      </c>
      <c r="R72" s="12"/>
      <c r="S72" s="2"/>
      <c r="T72" s="12"/>
      <c r="U72" s="2">
        <v>-7430.08</v>
      </c>
    </row>
    <row r="73" spans="1:21" x14ac:dyDescent="0.25">
      <c r="A73" s="12"/>
      <c r="B73" s="12"/>
      <c r="C73" s="12"/>
      <c r="D73" s="12"/>
      <c r="E73" s="12"/>
      <c r="F73" s="12"/>
      <c r="G73" s="12" t="s">
        <v>56</v>
      </c>
      <c r="H73" s="12"/>
      <c r="I73" s="13">
        <v>46240</v>
      </c>
      <c r="J73" s="12"/>
      <c r="K73" s="12" t="s">
        <v>114</v>
      </c>
      <c r="L73" s="12"/>
      <c r="M73" s="12" t="s">
        <v>113</v>
      </c>
      <c r="N73" s="12"/>
      <c r="O73" s="12" t="s">
        <v>97</v>
      </c>
      <c r="P73" s="12"/>
      <c r="Q73" s="2">
        <v>58.76</v>
      </c>
      <c r="R73" s="12"/>
      <c r="S73" s="2"/>
      <c r="T73" s="12"/>
      <c r="U73" s="2">
        <v>-7488.84</v>
      </c>
    </row>
    <row r="74" spans="1:21" x14ac:dyDescent="0.25">
      <c r="A74" s="12"/>
      <c r="B74" s="12"/>
      <c r="C74" s="12"/>
      <c r="D74" s="12"/>
      <c r="E74" s="12"/>
      <c r="F74" s="12"/>
      <c r="G74" s="12" t="s">
        <v>56</v>
      </c>
      <c r="H74" s="12"/>
      <c r="I74" s="13">
        <v>46240</v>
      </c>
      <c r="J74" s="12"/>
      <c r="K74" s="12" t="s">
        <v>112</v>
      </c>
      <c r="L74" s="12"/>
      <c r="M74" s="12" t="s">
        <v>111</v>
      </c>
      <c r="N74" s="12"/>
      <c r="O74" s="12" t="s">
        <v>110</v>
      </c>
      <c r="P74" s="12"/>
      <c r="Q74" s="2">
        <v>10.79</v>
      </c>
      <c r="R74" s="12"/>
      <c r="S74" s="2"/>
      <c r="T74" s="12"/>
      <c r="U74" s="2">
        <v>-7499.63</v>
      </c>
    </row>
    <row r="75" spans="1:21" x14ac:dyDescent="0.25">
      <c r="A75" s="12"/>
      <c r="B75" s="12"/>
      <c r="C75" s="12"/>
      <c r="D75" s="12"/>
      <c r="E75" s="12"/>
      <c r="F75" s="12"/>
      <c r="G75" s="12" t="s">
        <v>56</v>
      </c>
      <c r="H75" s="12"/>
      <c r="I75" s="13">
        <v>46240</v>
      </c>
      <c r="J75" s="12"/>
      <c r="K75" s="12" t="s">
        <v>109</v>
      </c>
      <c r="L75" s="12"/>
      <c r="M75" s="12" t="s">
        <v>54</v>
      </c>
      <c r="N75" s="12"/>
      <c r="O75" s="12" t="s">
        <v>53</v>
      </c>
      <c r="P75" s="12"/>
      <c r="Q75" s="2">
        <v>9.7799999999999994</v>
      </c>
      <c r="R75" s="12"/>
      <c r="S75" s="2"/>
      <c r="T75" s="12"/>
      <c r="U75" s="2">
        <v>-7509.41</v>
      </c>
    </row>
    <row r="76" spans="1:21" x14ac:dyDescent="0.25">
      <c r="A76" s="12"/>
      <c r="B76" s="12"/>
      <c r="C76" s="12"/>
      <c r="D76" s="12"/>
      <c r="E76" s="12"/>
      <c r="F76" s="12"/>
      <c r="G76" s="12" t="s">
        <v>56</v>
      </c>
      <c r="H76" s="12"/>
      <c r="I76" s="13">
        <v>46240</v>
      </c>
      <c r="J76" s="12"/>
      <c r="K76" s="12" t="s">
        <v>108</v>
      </c>
      <c r="L76" s="12"/>
      <c r="M76" s="12" t="s">
        <v>98</v>
      </c>
      <c r="N76" s="12"/>
      <c r="O76" s="12" t="s">
        <v>97</v>
      </c>
      <c r="P76" s="12"/>
      <c r="Q76" s="2">
        <v>6.67</v>
      </c>
      <c r="R76" s="12"/>
      <c r="S76" s="2"/>
      <c r="T76" s="12"/>
      <c r="U76" s="2">
        <v>-7516.08</v>
      </c>
    </row>
    <row r="77" spans="1:21" x14ac:dyDescent="0.25">
      <c r="A77" s="12"/>
      <c r="B77" s="12"/>
      <c r="C77" s="12"/>
      <c r="D77" s="12"/>
      <c r="E77" s="12"/>
      <c r="F77" s="12"/>
      <c r="G77" s="12" t="s">
        <v>56</v>
      </c>
      <c r="H77" s="12"/>
      <c r="I77" s="13">
        <v>46240</v>
      </c>
      <c r="J77" s="12"/>
      <c r="K77" s="12" t="s">
        <v>107</v>
      </c>
      <c r="L77" s="12"/>
      <c r="M77" s="12" t="s">
        <v>106</v>
      </c>
      <c r="N77" s="12"/>
      <c r="O77" s="12" t="s">
        <v>105</v>
      </c>
      <c r="P77" s="12"/>
      <c r="Q77" s="2">
        <v>89.67</v>
      </c>
      <c r="R77" s="12"/>
      <c r="S77" s="2"/>
      <c r="T77" s="12"/>
      <c r="U77" s="2">
        <v>-7605.75</v>
      </c>
    </row>
    <row r="78" spans="1:21" x14ac:dyDescent="0.25">
      <c r="A78" s="12"/>
      <c r="B78" s="12"/>
      <c r="C78" s="12"/>
      <c r="D78" s="12"/>
      <c r="E78" s="12"/>
      <c r="F78" s="12"/>
      <c r="G78" s="12" t="s">
        <v>56</v>
      </c>
      <c r="H78" s="12"/>
      <c r="I78" s="13">
        <v>46240</v>
      </c>
      <c r="J78" s="12"/>
      <c r="K78" s="12" t="s">
        <v>104</v>
      </c>
      <c r="L78" s="12"/>
      <c r="M78" s="12" t="s">
        <v>54</v>
      </c>
      <c r="N78" s="12"/>
      <c r="O78" s="12" t="s">
        <v>53</v>
      </c>
      <c r="P78" s="12"/>
      <c r="Q78" s="2">
        <v>25.78</v>
      </c>
      <c r="R78" s="12"/>
      <c r="S78" s="2"/>
      <c r="T78" s="12"/>
      <c r="U78" s="2">
        <v>-7631.53</v>
      </c>
    </row>
    <row r="79" spans="1:21" x14ac:dyDescent="0.25">
      <c r="A79" s="12"/>
      <c r="B79" s="12"/>
      <c r="C79" s="12"/>
      <c r="D79" s="12"/>
      <c r="E79" s="12"/>
      <c r="F79" s="12"/>
      <c r="G79" s="12" t="s">
        <v>56</v>
      </c>
      <c r="H79" s="12"/>
      <c r="I79" s="13">
        <v>46240</v>
      </c>
      <c r="J79" s="12"/>
      <c r="K79" s="12" t="s">
        <v>103</v>
      </c>
      <c r="L79" s="12"/>
      <c r="M79" s="12" t="s">
        <v>95</v>
      </c>
      <c r="N79" s="12"/>
      <c r="O79" s="12" t="s">
        <v>94</v>
      </c>
      <c r="P79" s="12"/>
      <c r="Q79" s="2">
        <v>12.58</v>
      </c>
      <c r="R79" s="12"/>
      <c r="S79" s="2"/>
      <c r="T79" s="12"/>
      <c r="U79" s="2">
        <v>-7644.11</v>
      </c>
    </row>
    <row r="80" spans="1:21" x14ac:dyDescent="0.25">
      <c r="A80" s="12"/>
      <c r="B80" s="12"/>
      <c r="C80" s="12"/>
      <c r="D80" s="12"/>
      <c r="E80" s="12"/>
      <c r="F80" s="12"/>
      <c r="G80" s="12" t="s">
        <v>56</v>
      </c>
      <c r="H80" s="12"/>
      <c r="I80" s="13">
        <v>46240</v>
      </c>
      <c r="J80" s="12"/>
      <c r="K80" s="12" t="s">
        <v>102</v>
      </c>
      <c r="L80" s="12"/>
      <c r="M80" s="12" t="s">
        <v>101</v>
      </c>
      <c r="N80" s="12"/>
      <c r="O80" s="12" t="s">
        <v>100</v>
      </c>
      <c r="P80" s="12"/>
      <c r="Q80" s="2">
        <v>6.67</v>
      </c>
      <c r="R80" s="12"/>
      <c r="S80" s="2"/>
      <c r="T80" s="12"/>
      <c r="U80" s="2">
        <v>-7650.78</v>
      </c>
    </row>
    <row r="81" spans="1:21" x14ac:dyDescent="0.25">
      <c r="A81" s="12"/>
      <c r="B81" s="12"/>
      <c r="C81" s="12"/>
      <c r="D81" s="12"/>
      <c r="E81" s="12"/>
      <c r="F81" s="12"/>
      <c r="G81" s="12" t="s">
        <v>56</v>
      </c>
      <c r="H81" s="12"/>
      <c r="I81" s="13">
        <v>46241</v>
      </c>
      <c r="J81" s="12"/>
      <c r="K81" s="12" t="s">
        <v>99</v>
      </c>
      <c r="L81" s="12"/>
      <c r="M81" s="12" t="s">
        <v>98</v>
      </c>
      <c r="N81" s="12"/>
      <c r="O81" s="12" t="s">
        <v>97</v>
      </c>
      <c r="P81" s="12"/>
      <c r="Q81" s="2">
        <v>53.9</v>
      </c>
      <c r="R81" s="12"/>
      <c r="S81" s="2"/>
      <c r="T81" s="12"/>
      <c r="U81" s="2">
        <v>-7704.68</v>
      </c>
    </row>
    <row r="82" spans="1:21" x14ac:dyDescent="0.25">
      <c r="A82" s="12"/>
      <c r="B82" s="12"/>
      <c r="C82" s="12"/>
      <c r="D82" s="12"/>
      <c r="E82" s="12"/>
      <c r="F82" s="12"/>
      <c r="G82" s="12" t="s">
        <v>56</v>
      </c>
      <c r="H82" s="12"/>
      <c r="I82" s="13">
        <v>46241</v>
      </c>
      <c r="J82" s="12"/>
      <c r="K82" s="12" t="s">
        <v>96</v>
      </c>
      <c r="L82" s="12"/>
      <c r="M82" s="12" t="s">
        <v>95</v>
      </c>
      <c r="N82" s="12"/>
      <c r="O82" s="12" t="s">
        <v>94</v>
      </c>
      <c r="P82" s="12"/>
      <c r="Q82" s="2">
        <v>63.69</v>
      </c>
      <c r="R82" s="12"/>
      <c r="S82" s="2"/>
      <c r="T82" s="12"/>
      <c r="U82" s="2">
        <v>-7768.37</v>
      </c>
    </row>
    <row r="83" spans="1:21" x14ac:dyDescent="0.25">
      <c r="A83" s="12"/>
      <c r="B83" s="12"/>
      <c r="C83" s="12"/>
      <c r="D83" s="12"/>
      <c r="E83" s="12"/>
      <c r="F83" s="12"/>
      <c r="G83" s="12" t="s">
        <v>56</v>
      </c>
      <c r="H83" s="12"/>
      <c r="I83" s="13">
        <v>46241</v>
      </c>
      <c r="J83" s="12"/>
      <c r="K83" s="12" t="s">
        <v>93</v>
      </c>
      <c r="L83" s="12"/>
      <c r="M83" s="12" t="s">
        <v>92</v>
      </c>
      <c r="N83" s="12"/>
      <c r="O83" s="12" t="s">
        <v>91</v>
      </c>
      <c r="P83" s="12"/>
      <c r="Q83" s="2">
        <v>3</v>
      </c>
      <c r="R83" s="12"/>
      <c r="S83" s="2"/>
      <c r="T83" s="12"/>
      <c r="U83" s="2">
        <v>-7771.37</v>
      </c>
    </row>
    <row r="84" spans="1:21" x14ac:dyDescent="0.25">
      <c r="A84" s="12"/>
      <c r="B84" s="12"/>
      <c r="C84" s="12"/>
      <c r="D84" s="12"/>
      <c r="E84" s="12"/>
      <c r="F84" s="12"/>
      <c r="G84" s="12" t="s">
        <v>56</v>
      </c>
      <c r="H84" s="12"/>
      <c r="I84" s="13">
        <v>46241</v>
      </c>
      <c r="J84" s="12"/>
      <c r="K84" s="12" t="s">
        <v>90</v>
      </c>
      <c r="L84" s="12"/>
      <c r="M84" s="12" t="s">
        <v>54</v>
      </c>
      <c r="N84" s="12"/>
      <c r="O84" s="12" t="s">
        <v>53</v>
      </c>
      <c r="P84" s="12"/>
      <c r="Q84" s="2">
        <v>272.12</v>
      </c>
      <c r="R84" s="12"/>
      <c r="S84" s="2"/>
      <c r="T84" s="12"/>
      <c r="U84" s="2">
        <v>-8043.49</v>
      </c>
    </row>
    <row r="85" spans="1:21" x14ac:dyDescent="0.25">
      <c r="A85" s="12"/>
      <c r="B85" s="12"/>
      <c r="C85" s="12"/>
      <c r="D85" s="12"/>
      <c r="E85" s="12"/>
      <c r="F85" s="12"/>
      <c r="G85" s="12" t="s">
        <v>56</v>
      </c>
      <c r="H85" s="12"/>
      <c r="I85" s="13">
        <v>46241</v>
      </c>
      <c r="J85" s="12"/>
      <c r="K85" s="12" t="s">
        <v>89</v>
      </c>
      <c r="L85" s="12"/>
      <c r="M85" s="12" t="s">
        <v>88</v>
      </c>
      <c r="N85" s="12"/>
      <c r="O85" s="12" t="s">
        <v>87</v>
      </c>
      <c r="P85" s="12"/>
      <c r="Q85" s="2">
        <v>10.199999999999999</v>
      </c>
      <c r="R85" s="12"/>
      <c r="S85" s="2"/>
      <c r="T85" s="12"/>
      <c r="U85" s="2">
        <v>-8053.69</v>
      </c>
    </row>
    <row r="86" spans="1:21" x14ac:dyDescent="0.25">
      <c r="A86" s="12"/>
      <c r="B86" s="12"/>
      <c r="C86" s="12"/>
      <c r="D86" s="12"/>
      <c r="E86" s="12"/>
      <c r="F86" s="12"/>
      <c r="G86" s="12" t="s">
        <v>56</v>
      </c>
      <c r="H86" s="12"/>
      <c r="I86" s="13">
        <v>46241</v>
      </c>
      <c r="J86" s="12"/>
      <c r="K86" s="12" t="s">
        <v>86</v>
      </c>
      <c r="L86" s="12"/>
      <c r="M86" s="12" t="s">
        <v>85</v>
      </c>
      <c r="N86" s="12"/>
      <c r="O86" s="12" t="s">
        <v>74</v>
      </c>
      <c r="P86" s="12"/>
      <c r="Q86" s="2">
        <v>76.56</v>
      </c>
      <c r="R86" s="12"/>
      <c r="S86" s="2"/>
      <c r="T86" s="12"/>
      <c r="U86" s="2">
        <v>-8130.25</v>
      </c>
    </row>
    <row r="87" spans="1:21" x14ac:dyDescent="0.25">
      <c r="A87" s="12"/>
      <c r="B87" s="12"/>
      <c r="C87" s="12"/>
      <c r="D87" s="12"/>
      <c r="E87" s="12"/>
      <c r="F87" s="12"/>
      <c r="G87" s="12" t="s">
        <v>56</v>
      </c>
      <c r="H87" s="12"/>
      <c r="I87" s="13">
        <v>46241</v>
      </c>
      <c r="J87" s="12"/>
      <c r="K87" s="12" t="s">
        <v>84</v>
      </c>
      <c r="L87" s="12"/>
      <c r="M87" s="12" t="s">
        <v>83</v>
      </c>
      <c r="N87" s="12"/>
      <c r="O87" s="12" t="s">
        <v>82</v>
      </c>
      <c r="P87" s="12"/>
      <c r="Q87" s="2">
        <v>24.52</v>
      </c>
      <c r="R87" s="12"/>
      <c r="S87" s="2"/>
      <c r="T87" s="12"/>
      <c r="U87" s="2">
        <v>-8154.77</v>
      </c>
    </row>
    <row r="88" spans="1:21" x14ac:dyDescent="0.25">
      <c r="A88" s="12"/>
      <c r="B88" s="12"/>
      <c r="C88" s="12"/>
      <c r="D88" s="12"/>
      <c r="E88" s="12"/>
      <c r="F88" s="12"/>
      <c r="G88" s="12" t="s">
        <v>56</v>
      </c>
      <c r="H88" s="12"/>
      <c r="I88" s="13">
        <v>46241</v>
      </c>
      <c r="J88" s="12"/>
      <c r="K88" s="12" t="s">
        <v>81</v>
      </c>
      <c r="L88" s="12"/>
      <c r="M88" s="12" t="s">
        <v>72</v>
      </c>
      <c r="N88" s="12"/>
      <c r="O88" s="12" t="s">
        <v>71</v>
      </c>
      <c r="P88" s="12"/>
      <c r="Q88" s="2">
        <v>7.11</v>
      </c>
      <c r="R88" s="12"/>
      <c r="S88" s="2"/>
      <c r="T88" s="12"/>
      <c r="U88" s="2">
        <v>-8161.88</v>
      </c>
    </row>
    <row r="89" spans="1:21" x14ac:dyDescent="0.25">
      <c r="A89" s="12"/>
      <c r="B89" s="12"/>
      <c r="C89" s="12"/>
      <c r="D89" s="12"/>
      <c r="E89" s="12"/>
      <c r="F89" s="12"/>
      <c r="G89" s="12" t="s">
        <v>56</v>
      </c>
      <c r="H89" s="12"/>
      <c r="I89" s="13">
        <v>46241</v>
      </c>
      <c r="J89" s="12"/>
      <c r="K89" s="12" t="s">
        <v>80</v>
      </c>
      <c r="L89" s="12"/>
      <c r="M89" s="12" t="s">
        <v>79</v>
      </c>
      <c r="N89" s="12"/>
      <c r="O89" s="12" t="s">
        <v>78</v>
      </c>
      <c r="P89" s="12"/>
      <c r="Q89" s="2">
        <v>13.33</v>
      </c>
      <c r="R89" s="12"/>
      <c r="S89" s="2"/>
      <c r="T89" s="12"/>
      <c r="U89" s="2">
        <v>-8175.21</v>
      </c>
    </row>
    <row r="90" spans="1:21" x14ac:dyDescent="0.25">
      <c r="A90" s="12"/>
      <c r="B90" s="12"/>
      <c r="C90" s="12"/>
      <c r="D90" s="12"/>
      <c r="E90" s="12"/>
      <c r="F90" s="12"/>
      <c r="G90" s="12" t="s">
        <v>56</v>
      </c>
      <c r="H90" s="12"/>
      <c r="I90" s="13">
        <v>46241</v>
      </c>
      <c r="J90" s="12"/>
      <c r="K90" s="12" t="s">
        <v>77</v>
      </c>
      <c r="L90" s="12"/>
      <c r="M90" s="12" t="s">
        <v>54</v>
      </c>
      <c r="N90" s="12"/>
      <c r="O90" s="12" t="s">
        <v>53</v>
      </c>
      <c r="P90" s="12"/>
      <c r="Q90" s="2">
        <v>323.66000000000003</v>
      </c>
      <c r="R90" s="12"/>
      <c r="S90" s="2"/>
      <c r="T90" s="12"/>
      <c r="U90" s="2">
        <v>-8498.8700000000008</v>
      </c>
    </row>
    <row r="91" spans="1:21" x14ac:dyDescent="0.25">
      <c r="A91" s="12"/>
      <c r="B91" s="12"/>
      <c r="C91" s="12"/>
      <c r="D91" s="12"/>
      <c r="E91" s="12"/>
      <c r="F91" s="12"/>
      <c r="G91" s="12" t="s">
        <v>56</v>
      </c>
      <c r="H91" s="12"/>
      <c r="I91" s="13">
        <v>46241</v>
      </c>
      <c r="J91" s="12"/>
      <c r="K91" s="12" t="s">
        <v>76</v>
      </c>
      <c r="L91" s="12"/>
      <c r="M91" s="12" t="s">
        <v>75</v>
      </c>
      <c r="N91" s="12"/>
      <c r="O91" s="12" t="s">
        <v>74</v>
      </c>
      <c r="P91" s="12"/>
      <c r="Q91" s="2">
        <v>10</v>
      </c>
      <c r="R91" s="12"/>
      <c r="S91" s="2"/>
      <c r="T91" s="12"/>
      <c r="U91" s="2">
        <v>-8508.8700000000008</v>
      </c>
    </row>
    <row r="92" spans="1:21" x14ac:dyDescent="0.25">
      <c r="A92" s="12"/>
      <c r="B92" s="12"/>
      <c r="C92" s="12"/>
      <c r="D92" s="12"/>
      <c r="E92" s="12"/>
      <c r="F92" s="12"/>
      <c r="G92" s="12" t="s">
        <v>56</v>
      </c>
      <c r="H92" s="12"/>
      <c r="I92" s="13">
        <v>46241</v>
      </c>
      <c r="J92" s="12"/>
      <c r="K92" s="12" t="s">
        <v>73</v>
      </c>
      <c r="L92" s="12"/>
      <c r="M92" s="12" t="s">
        <v>72</v>
      </c>
      <c r="N92" s="12"/>
      <c r="O92" s="12" t="s">
        <v>71</v>
      </c>
      <c r="P92" s="12"/>
      <c r="Q92" s="2">
        <v>10.67</v>
      </c>
      <c r="R92" s="12"/>
      <c r="S92" s="2"/>
      <c r="T92" s="12"/>
      <c r="U92" s="2">
        <v>-8519.5400000000009</v>
      </c>
    </row>
    <row r="93" spans="1:21" x14ac:dyDescent="0.25">
      <c r="A93" s="12"/>
      <c r="B93" s="12"/>
      <c r="C93" s="12"/>
      <c r="D93" s="12"/>
      <c r="E93" s="12"/>
      <c r="F93" s="12"/>
      <c r="G93" s="12" t="s">
        <v>56</v>
      </c>
      <c r="H93" s="12"/>
      <c r="I93" s="13">
        <v>46241</v>
      </c>
      <c r="J93" s="12"/>
      <c r="K93" s="12" t="s">
        <v>70</v>
      </c>
      <c r="L93" s="12"/>
      <c r="M93" s="12" t="s">
        <v>69</v>
      </c>
      <c r="N93" s="12"/>
      <c r="O93" s="12" t="s">
        <v>68</v>
      </c>
      <c r="P93" s="12"/>
      <c r="Q93" s="2">
        <v>20.67</v>
      </c>
      <c r="R93" s="12"/>
      <c r="S93" s="2"/>
      <c r="T93" s="12"/>
      <c r="U93" s="2">
        <v>-8540.2099999999991</v>
      </c>
    </row>
    <row r="94" spans="1:21" x14ac:dyDescent="0.25">
      <c r="A94" s="12"/>
      <c r="B94" s="12"/>
      <c r="C94" s="12"/>
      <c r="D94" s="12"/>
      <c r="E94" s="12"/>
      <c r="F94" s="12"/>
      <c r="G94" s="12" t="s">
        <v>56</v>
      </c>
      <c r="H94" s="12"/>
      <c r="I94" s="13">
        <v>46241</v>
      </c>
      <c r="J94" s="12"/>
      <c r="K94" s="12" t="s">
        <v>67</v>
      </c>
      <c r="L94" s="12"/>
      <c r="M94" s="12" t="s">
        <v>66</v>
      </c>
      <c r="N94" s="12"/>
      <c r="O94" s="12" t="s">
        <v>65</v>
      </c>
      <c r="P94" s="12"/>
      <c r="Q94" s="2">
        <v>5.83</v>
      </c>
      <c r="R94" s="12"/>
      <c r="S94" s="2"/>
      <c r="T94" s="12"/>
      <c r="U94" s="2">
        <v>-8546.0400000000009</v>
      </c>
    </row>
    <row r="95" spans="1:21" x14ac:dyDescent="0.25">
      <c r="A95" s="12"/>
      <c r="B95" s="12"/>
      <c r="C95" s="12"/>
      <c r="D95" s="12"/>
      <c r="E95" s="12"/>
      <c r="F95" s="12"/>
      <c r="G95" s="12" t="s">
        <v>56</v>
      </c>
      <c r="H95" s="12"/>
      <c r="I95" s="13">
        <v>46241</v>
      </c>
      <c r="J95" s="12"/>
      <c r="K95" s="12" t="s">
        <v>64</v>
      </c>
      <c r="L95" s="12"/>
      <c r="M95" s="12" t="s">
        <v>63</v>
      </c>
      <c r="N95" s="12"/>
      <c r="O95" s="12" t="s">
        <v>62</v>
      </c>
      <c r="P95" s="12"/>
      <c r="Q95" s="2">
        <v>75</v>
      </c>
      <c r="R95" s="12"/>
      <c r="S95" s="2"/>
      <c r="T95" s="12"/>
      <c r="U95" s="2">
        <v>-8621.0400000000009</v>
      </c>
    </row>
    <row r="96" spans="1:21" x14ac:dyDescent="0.25">
      <c r="A96" s="12"/>
      <c r="B96" s="12"/>
      <c r="C96" s="12"/>
      <c r="D96" s="12"/>
      <c r="E96" s="12"/>
      <c r="F96" s="12"/>
      <c r="G96" s="12" t="s">
        <v>61</v>
      </c>
      <c r="H96" s="12"/>
      <c r="I96" s="13">
        <v>46242</v>
      </c>
      <c r="J96" s="12"/>
      <c r="K96" s="12" t="s">
        <v>60</v>
      </c>
      <c r="L96" s="12"/>
      <c r="M96" s="12" t="s">
        <v>59</v>
      </c>
      <c r="N96" s="12"/>
      <c r="O96" s="12" t="s">
        <v>58</v>
      </c>
      <c r="P96" s="12"/>
      <c r="Q96" s="2">
        <v>17.14</v>
      </c>
      <c r="R96" s="12"/>
      <c r="S96" s="2"/>
      <c r="T96" s="12"/>
      <c r="U96" s="2">
        <v>-8638.18</v>
      </c>
    </row>
    <row r="97" spans="1:21" x14ac:dyDescent="0.25">
      <c r="A97" s="12"/>
      <c r="B97" s="12"/>
      <c r="C97" s="12"/>
      <c r="D97" s="12"/>
      <c r="E97" s="12"/>
      <c r="F97" s="12"/>
      <c r="G97" s="12" t="s">
        <v>56</v>
      </c>
      <c r="H97" s="12"/>
      <c r="I97" s="13">
        <v>46242</v>
      </c>
      <c r="J97" s="12"/>
      <c r="K97" s="12" t="s">
        <v>57</v>
      </c>
      <c r="L97" s="12"/>
      <c r="M97" s="12" t="s">
        <v>54</v>
      </c>
      <c r="N97" s="12"/>
      <c r="O97" s="12" t="s">
        <v>53</v>
      </c>
      <c r="P97" s="12"/>
      <c r="Q97" s="2">
        <v>5.28</v>
      </c>
      <c r="R97" s="12"/>
      <c r="S97" s="2"/>
      <c r="T97" s="12"/>
      <c r="U97" s="2">
        <v>-8643.4599999999991</v>
      </c>
    </row>
    <row r="98" spans="1:21" ht="15.75" thickBot="1" x14ac:dyDescent="0.3">
      <c r="A98" s="12"/>
      <c r="B98" s="12"/>
      <c r="C98" s="12"/>
      <c r="D98" s="12"/>
      <c r="E98" s="12"/>
      <c r="F98" s="12"/>
      <c r="G98" s="12" t="s">
        <v>56</v>
      </c>
      <c r="H98" s="12"/>
      <c r="I98" s="13">
        <v>46242</v>
      </c>
      <c r="J98" s="12"/>
      <c r="K98" s="12" t="s">
        <v>55</v>
      </c>
      <c r="L98" s="12"/>
      <c r="M98" s="12" t="s">
        <v>54</v>
      </c>
      <c r="N98" s="12"/>
      <c r="O98" s="12" t="s">
        <v>53</v>
      </c>
      <c r="P98" s="12"/>
      <c r="Q98" s="2">
        <v>21.74</v>
      </c>
      <c r="R98" s="12"/>
      <c r="S98" s="2"/>
      <c r="T98" s="12"/>
      <c r="U98" s="2">
        <v>-8665.2000000000007</v>
      </c>
    </row>
    <row r="99" spans="1:21" ht="15.75" thickBot="1" x14ac:dyDescent="0.3">
      <c r="A99" s="12"/>
      <c r="B99" s="12"/>
      <c r="C99" s="12"/>
      <c r="D99" s="12" t="s">
        <v>52</v>
      </c>
      <c r="E99" s="12"/>
      <c r="F99" s="12"/>
      <c r="G99" s="12"/>
      <c r="H99" s="12"/>
      <c r="I99" s="13"/>
      <c r="J99" s="12"/>
      <c r="K99" s="12"/>
      <c r="L99" s="12"/>
      <c r="M99" s="12"/>
      <c r="N99" s="12"/>
      <c r="O99" s="12"/>
      <c r="P99" s="12"/>
      <c r="Q99" s="5">
        <f>ROUND(SUM(Q12:Q98),5)</f>
        <v>8665.2000000000007</v>
      </c>
      <c r="R99" s="12"/>
      <c r="S99" s="5">
        <f>ROUND(SUM(S12:S98),5)</f>
        <v>0</v>
      </c>
      <c r="T99" s="12"/>
      <c r="U99" s="5">
        <f>U98</f>
        <v>-8665.2000000000007</v>
      </c>
    </row>
    <row r="100" spans="1:21" ht="15.75" thickBot="1" x14ac:dyDescent="0.3">
      <c r="A100" s="12"/>
      <c r="B100" s="12"/>
      <c r="C100" s="12" t="s">
        <v>51</v>
      </c>
      <c r="D100" s="12"/>
      <c r="E100" s="12"/>
      <c r="F100" s="12"/>
      <c r="G100" s="12"/>
      <c r="H100" s="12"/>
      <c r="I100" s="13"/>
      <c r="J100" s="12"/>
      <c r="K100" s="12"/>
      <c r="L100" s="12"/>
      <c r="M100" s="12"/>
      <c r="N100" s="12"/>
      <c r="O100" s="12"/>
      <c r="P100" s="12"/>
      <c r="Q100" s="5">
        <f>ROUND(Q11+Q99,5)</f>
        <v>10402.870000000001</v>
      </c>
      <c r="R100" s="12"/>
      <c r="S100" s="5">
        <f>ROUND(S11+S99,5)</f>
        <v>0</v>
      </c>
      <c r="T100" s="12"/>
      <c r="U100" s="5">
        <f>ROUND(U11+U99,5)</f>
        <v>-10402.870000000001</v>
      </c>
    </row>
    <row r="101" spans="1:21" ht="15.75" thickBot="1" x14ac:dyDescent="0.3">
      <c r="A101" s="12"/>
      <c r="B101" s="12" t="s">
        <v>50</v>
      </c>
      <c r="C101" s="12"/>
      <c r="D101" s="12"/>
      <c r="E101" s="12"/>
      <c r="F101" s="12"/>
      <c r="G101" s="12"/>
      <c r="H101" s="12"/>
      <c r="I101" s="13"/>
      <c r="J101" s="12"/>
      <c r="K101" s="12"/>
      <c r="L101" s="12"/>
      <c r="M101" s="12"/>
      <c r="N101" s="12"/>
      <c r="O101" s="12"/>
      <c r="P101" s="12"/>
      <c r="Q101" s="5">
        <f>Q100</f>
        <v>10402.870000000001</v>
      </c>
      <c r="R101" s="12"/>
      <c r="S101" s="5">
        <f>S100</f>
        <v>0</v>
      </c>
      <c r="T101" s="12"/>
      <c r="U101" s="5">
        <f>U100</f>
        <v>-10402.870000000001</v>
      </c>
    </row>
    <row r="102" spans="1:21" s="7" customFormat="1" ht="12" thickBot="1" x14ac:dyDescent="0.25">
      <c r="A102" s="1" t="s">
        <v>49</v>
      </c>
      <c r="B102" s="1"/>
      <c r="C102" s="1"/>
      <c r="D102" s="1"/>
      <c r="E102" s="1"/>
      <c r="F102" s="1"/>
      <c r="G102" s="1"/>
      <c r="H102" s="1"/>
      <c r="I102" s="11"/>
      <c r="J102" s="1"/>
      <c r="K102" s="1"/>
      <c r="L102" s="1"/>
      <c r="M102" s="1"/>
      <c r="N102" s="1"/>
      <c r="O102" s="1"/>
      <c r="P102" s="1"/>
      <c r="Q102" s="6">
        <f>Q101</f>
        <v>10402.870000000001</v>
      </c>
      <c r="R102" s="1"/>
      <c r="S102" s="6">
        <f>S101</f>
        <v>0</v>
      </c>
      <c r="T102" s="1"/>
      <c r="U102" s="6">
        <f>U101</f>
        <v>-10402.870000000001</v>
      </c>
    </row>
    <row r="103" spans="1:21" ht="15.75" thickTop="1" x14ac:dyDescent="0.25"/>
  </sheetData>
  <pageMargins left="0.7" right="0.7" top="0.75" bottom="0.75" header="0.1" footer="0.3"/>
  <pageSetup orientation="landscape" r:id="rId1"/>
  <headerFooter>
    <oddHeader>&amp;L&amp;"Arial,Bold"&amp;8 4:05 PM
&amp;"Arial,Bold"&amp;8 08/25/26
&amp;"Arial,Bold"&amp;8 Accrual Basis&amp;C&amp;"Arial,Bold"&amp;12 Chaa Creek Ltd
&amp;"Arial,Bold"&amp;14 Account QuickReport
&amp;"Arial,Bold"&amp;10 As of August 8,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4098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28575</xdr:rowOff>
              </to>
            </anchor>
          </controlPr>
        </control>
      </mc:Choice>
      <mc:Fallback>
        <control shapeId="4098" r:id="rId4" name="HEADER"/>
      </mc:Fallback>
    </mc:AlternateContent>
    <mc:AlternateContent xmlns:mc="http://schemas.openxmlformats.org/markup-compatibility/2006">
      <mc:Choice Requires="x14">
        <control shapeId="4097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28575</xdr:rowOff>
              </to>
            </anchor>
          </controlPr>
        </control>
      </mc:Choice>
      <mc:Fallback>
        <control shapeId="4097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Accounts</vt:lpstr>
      <vt:lpstr>GST</vt:lpstr>
      <vt:lpstr>Accounts!Print_Titles</vt:lpstr>
      <vt:lpstr>GST!Print_Titles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Soraida Polanco</dc:creator>
  <cp:lastModifiedBy>Soraida Polanco</cp:lastModifiedBy>
  <dcterms:created xsi:type="dcterms:W3CDTF">2026-08-25T18:45:40Z</dcterms:created>
  <dcterms:modified xsi:type="dcterms:W3CDTF">2026-08-25T22:07:06Z</dcterms:modified>
</cp:coreProperties>
</file>